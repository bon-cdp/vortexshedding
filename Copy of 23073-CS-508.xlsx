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waso\Documents\torsor-main\"/>
    </mc:Choice>
  </mc:AlternateContent>
  <xr:revisionPtr revIDLastSave="0" documentId="8_{9100FCE7-25F3-4824-B0FE-CD6CDEC52EE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riginal Boom Luffing Structure" sheetId="4" r:id="rId1"/>
    <sheet name="Modified Boom Luffing Structure" sheetId="6" r:id="rId2"/>
    <sheet name="Extra Luffing Structure Suppor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6" l="1"/>
  <c r="C71" i="6" s="1"/>
  <c r="C65" i="6"/>
  <c r="F43" i="6"/>
  <c r="C61" i="6"/>
  <c r="S56" i="6"/>
  <c r="B14" i="7"/>
  <c r="S79" i="7"/>
  <c r="N79" i="7"/>
  <c r="M79" i="7"/>
  <c r="I79" i="7"/>
  <c r="H79" i="7"/>
  <c r="D79" i="7"/>
  <c r="C79" i="7"/>
  <c r="Y53" i="7"/>
  <c r="T53" i="7"/>
  <c r="N52" i="7"/>
  <c r="AD79" i="7" s="1"/>
  <c r="M52" i="7"/>
  <c r="AC79" i="7" s="1"/>
  <c r="I52" i="7"/>
  <c r="Y79" i="7" s="1"/>
  <c r="H52" i="7"/>
  <c r="X79" i="7" s="1"/>
  <c r="D52" i="7"/>
  <c r="T79" i="7" s="1"/>
  <c r="C52" i="7"/>
  <c r="S53" i="7" s="1"/>
  <c r="Y34" i="7"/>
  <c r="X34" i="7"/>
  <c r="Y39" i="7" s="1"/>
  <c r="Y37" i="7" s="1"/>
  <c r="Y38" i="7" s="1"/>
  <c r="Y36" i="7" s="1"/>
  <c r="W32" i="7"/>
  <c r="W30" i="7" s="1"/>
  <c r="W31" i="7" s="1"/>
  <c r="Y27" i="7"/>
  <c r="X27" i="7"/>
  <c r="V32" i="7" s="1"/>
  <c r="V30" i="7" s="1"/>
  <c r="V31" i="7" s="1"/>
  <c r="V29" i="7" s="1"/>
  <c r="S19" i="7"/>
  <c r="S16" i="7"/>
  <c r="B15" i="7"/>
  <c r="S13" i="7"/>
  <c r="K12" i="7"/>
  <c r="G12" i="7"/>
  <c r="B7" i="7"/>
  <c r="B16" i="7" s="1"/>
  <c r="B10" i="7" s="1"/>
  <c r="B11" i="7" s="1"/>
  <c r="S19" i="6"/>
  <c r="S16" i="6"/>
  <c r="S13" i="6"/>
  <c r="AC79" i="6"/>
  <c r="Y79" i="6"/>
  <c r="T79" i="6"/>
  <c r="S79" i="6"/>
  <c r="N79" i="6"/>
  <c r="M79" i="6"/>
  <c r="I79" i="6"/>
  <c r="H79" i="6"/>
  <c r="D79" i="6"/>
  <c r="C79" i="6"/>
  <c r="AD53" i="6"/>
  <c r="AC53" i="6"/>
  <c r="T53" i="6"/>
  <c r="N52" i="6"/>
  <c r="AD79" i="6" s="1"/>
  <c r="M52" i="6"/>
  <c r="I52" i="6"/>
  <c r="Y53" i="6" s="1"/>
  <c r="H52" i="6"/>
  <c r="X79" i="6" s="1"/>
  <c r="D52" i="6"/>
  <c r="C52" i="6"/>
  <c r="S53" i="6" s="1"/>
  <c r="Y34" i="6"/>
  <c r="X34" i="6"/>
  <c r="Y39" i="6" s="1"/>
  <c r="Y37" i="6" s="1"/>
  <c r="Y38" i="6" s="1"/>
  <c r="Y36" i="6" s="1"/>
  <c r="Y32" i="6"/>
  <c r="W32" i="6"/>
  <c r="W30" i="6" s="1"/>
  <c r="W31" i="6" s="1"/>
  <c r="W29" i="6" s="1"/>
  <c r="Y27" i="6"/>
  <c r="X27" i="6"/>
  <c r="V32" i="6" s="1"/>
  <c r="V30" i="6" s="1"/>
  <c r="V31" i="6" s="1"/>
  <c r="V29" i="6" s="1"/>
  <c r="B15" i="6"/>
  <c r="B14" i="6"/>
  <c r="K12" i="6"/>
  <c r="G12" i="6"/>
  <c r="B7" i="6"/>
  <c r="B16" i="6" s="1"/>
  <c r="B10" i="6" s="1"/>
  <c r="B11" i="6" s="1"/>
  <c r="W29" i="7" l="1"/>
  <c r="B19" i="7"/>
  <c r="F43" i="7" s="1"/>
  <c r="Y32" i="7"/>
  <c r="Y30" i="7" s="1"/>
  <c r="Y31" i="7" s="1"/>
  <c r="Y29" i="7" s="1"/>
  <c r="X53" i="7"/>
  <c r="AC53" i="7"/>
  <c r="B8" i="7"/>
  <c r="S14" i="7" s="1"/>
  <c r="AD53" i="7"/>
  <c r="V39" i="7"/>
  <c r="V37" i="7" s="1"/>
  <c r="V38" i="7" s="1"/>
  <c r="V36" i="7" s="1"/>
  <c r="W39" i="7"/>
  <c r="W37" i="7" s="1"/>
  <c r="W38" i="7" s="1"/>
  <c r="W36" i="7" s="1"/>
  <c r="B19" i="6"/>
  <c r="X53" i="6"/>
  <c r="V39" i="6"/>
  <c r="V37" i="6" s="1"/>
  <c r="V38" i="6" s="1"/>
  <c r="V36" i="6" s="1"/>
  <c r="Y30" i="6"/>
  <c r="Y31" i="6" s="1"/>
  <c r="Y29" i="6" s="1"/>
  <c r="B8" i="6"/>
  <c r="W39" i="6"/>
  <c r="W37" i="6" s="1"/>
  <c r="W38" i="6" s="1"/>
  <c r="M55" i="7" l="1"/>
  <c r="M56" i="7" s="1"/>
  <c r="H55" i="7"/>
  <c r="H56" i="7" s="1"/>
  <c r="C55" i="7"/>
  <c r="C56" i="7" s="1"/>
  <c r="B9" i="7"/>
  <c r="S17" i="7"/>
  <c r="S20" i="7"/>
  <c r="M55" i="6"/>
  <c r="M56" i="6" s="1"/>
  <c r="H55" i="6"/>
  <c r="H56" i="6" s="1"/>
  <c r="B9" i="6"/>
  <c r="C55" i="6"/>
  <c r="C56" i="6" s="1"/>
  <c r="S17" i="6"/>
  <c r="S14" i="6"/>
  <c r="S20" i="6"/>
  <c r="W36" i="6"/>
  <c r="M93" i="4"/>
  <c r="M91" i="4"/>
  <c r="M89" i="4"/>
  <c r="H89" i="4"/>
  <c r="H91" i="4" s="1"/>
  <c r="H93" i="4" s="1"/>
  <c r="C89" i="4"/>
  <c r="M88" i="4"/>
  <c r="O85" i="4"/>
  <c r="M82" i="4"/>
  <c r="H88" i="4"/>
  <c r="J85" i="4"/>
  <c r="C82" i="4"/>
  <c r="H82" i="4"/>
  <c r="S13" i="4"/>
  <c r="S14" i="4" s="1"/>
  <c r="N79" i="4"/>
  <c r="M79" i="4"/>
  <c r="I79" i="4"/>
  <c r="H79" i="4"/>
  <c r="D79" i="4"/>
  <c r="C79" i="4"/>
  <c r="S19" i="4"/>
  <c r="S16" i="4"/>
  <c r="Y27" i="4"/>
  <c r="Y39" i="4"/>
  <c r="V39" i="4"/>
  <c r="Y34" i="4"/>
  <c r="X27" i="4"/>
  <c r="Y32" i="4" s="1"/>
  <c r="X34" i="4"/>
  <c r="W39" i="4" s="1"/>
  <c r="H58" i="7" l="1"/>
  <c r="H59" i="7" s="1"/>
  <c r="H82" i="7"/>
  <c r="X82" i="7"/>
  <c r="X56" i="7"/>
  <c r="H69" i="7"/>
  <c r="C58" i="7"/>
  <c r="C59" i="7" s="1"/>
  <c r="C82" i="7"/>
  <c r="S56" i="7"/>
  <c r="S82" i="7"/>
  <c r="M58" i="7"/>
  <c r="M59" i="7" s="1"/>
  <c r="M82" i="7"/>
  <c r="AC82" i="7"/>
  <c r="AC56" i="7"/>
  <c r="C69" i="7"/>
  <c r="M69" i="7"/>
  <c r="C58" i="6"/>
  <c r="C59" i="6" s="1"/>
  <c r="S58" i="6"/>
  <c r="S59" i="6" s="1"/>
  <c r="S82" i="6"/>
  <c r="S84" i="6" s="1"/>
  <c r="S85" i="6" s="1"/>
  <c r="C82" i="6"/>
  <c r="S95" i="6"/>
  <c r="H58" i="6"/>
  <c r="H59" i="6" s="1"/>
  <c r="X56" i="6"/>
  <c r="X58" i="6" s="1"/>
  <c r="X59" i="6" s="1"/>
  <c r="H82" i="6"/>
  <c r="X82" i="6"/>
  <c r="X84" i="6" s="1"/>
  <c r="X85" i="6" s="1"/>
  <c r="X95" i="6"/>
  <c r="AC82" i="6"/>
  <c r="AC84" i="6" s="1"/>
  <c r="AC85" i="6" s="1"/>
  <c r="M82" i="6"/>
  <c r="M58" i="6"/>
  <c r="M59" i="6" s="1"/>
  <c r="AC56" i="6"/>
  <c r="AC58" i="6" s="1"/>
  <c r="AC59" i="6" s="1"/>
  <c r="S69" i="6"/>
  <c r="X69" i="6"/>
  <c r="C69" i="6"/>
  <c r="M69" i="6"/>
  <c r="H69" i="6"/>
  <c r="H84" i="4"/>
  <c r="H85" i="4" s="1"/>
  <c r="M84" i="4"/>
  <c r="M85" i="4" s="1"/>
  <c r="V32" i="4"/>
  <c r="W32" i="4"/>
  <c r="X58" i="7" l="1"/>
  <c r="X59" i="7" s="1"/>
  <c r="X69" i="7"/>
  <c r="C62" i="7"/>
  <c r="E59" i="7"/>
  <c r="C63" i="7"/>
  <c r="C65" i="7" s="1"/>
  <c r="C61" i="7"/>
  <c r="M84" i="7"/>
  <c r="M85" i="7" s="1"/>
  <c r="M95" i="7"/>
  <c r="X84" i="7"/>
  <c r="X85" i="7" s="1"/>
  <c r="X95" i="7"/>
  <c r="AC84" i="7"/>
  <c r="AC85" i="7" s="1"/>
  <c r="AC95" i="7"/>
  <c r="M63" i="7"/>
  <c r="M65" i="7" s="1"/>
  <c r="M61" i="7"/>
  <c r="O59" i="7"/>
  <c r="M62" i="7"/>
  <c r="H84" i="7"/>
  <c r="H85" i="7" s="1"/>
  <c r="H95" i="7"/>
  <c r="S58" i="7"/>
  <c r="S59" i="7" s="1"/>
  <c r="S69" i="7"/>
  <c r="C84" i="7"/>
  <c r="C85" i="7" s="1"/>
  <c r="C95" i="7"/>
  <c r="AC58" i="7"/>
  <c r="AC59" i="7" s="1"/>
  <c r="AC69" i="7"/>
  <c r="S84" i="7"/>
  <c r="S85" i="7" s="1"/>
  <c r="S95" i="7"/>
  <c r="H62" i="7"/>
  <c r="J59" i="7"/>
  <c r="H63" i="7"/>
  <c r="H65" i="7" s="1"/>
  <c r="H61" i="7"/>
  <c r="AE59" i="6"/>
  <c r="AC61" i="6"/>
  <c r="AC62" i="6"/>
  <c r="AC63" i="6"/>
  <c r="AC65" i="6" s="1"/>
  <c r="S88" i="6"/>
  <c r="S89" i="6"/>
  <c r="S91" i="6" s="1"/>
  <c r="S87" i="6"/>
  <c r="U85" i="6"/>
  <c r="H62" i="6"/>
  <c r="J59" i="6"/>
  <c r="H63" i="6"/>
  <c r="H65" i="6" s="1"/>
  <c r="H61" i="6"/>
  <c r="AC89" i="6"/>
  <c r="AC91" i="6" s="1"/>
  <c r="AC87" i="6"/>
  <c r="AE85" i="6"/>
  <c r="AC88" i="6"/>
  <c r="S63" i="6"/>
  <c r="S65" i="6" s="1"/>
  <c r="S61" i="6"/>
  <c r="U59" i="6"/>
  <c r="S62" i="6"/>
  <c r="M84" i="6"/>
  <c r="M85" i="6" s="1"/>
  <c r="M95" i="6"/>
  <c r="X88" i="6"/>
  <c r="X89" i="6"/>
  <c r="X91" i="6" s="1"/>
  <c r="Z85" i="6"/>
  <c r="X87" i="6"/>
  <c r="C63" i="6"/>
  <c r="C62" i="6"/>
  <c r="E59" i="6"/>
  <c r="H84" i="6"/>
  <c r="H85" i="6" s="1"/>
  <c r="H95" i="6"/>
  <c r="AC69" i="6"/>
  <c r="M62" i="6"/>
  <c r="M63" i="6"/>
  <c r="M65" i="6" s="1"/>
  <c r="M61" i="6"/>
  <c r="O59" i="6"/>
  <c r="C84" i="6"/>
  <c r="C85" i="6" s="1"/>
  <c r="C95" i="6"/>
  <c r="Z59" i="6"/>
  <c r="X61" i="6"/>
  <c r="X62" i="6"/>
  <c r="X63" i="6"/>
  <c r="X65" i="6" s="1"/>
  <c r="AC95" i="6"/>
  <c r="M87" i="4"/>
  <c r="H87" i="4"/>
  <c r="K12" i="4"/>
  <c r="G12" i="4"/>
  <c r="B14" i="4"/>
  <c r="N52" i="4"/>
  <c r="AD79" i="4" s="1"/>
  <c r="M52" i="4"/>
  <c r="AC79" i="4" s="1"/>
  <c r="I52" i="4"/>
  <c r="Y53" i="4" s="1"/>
  <c r="H52" i="4"/>
  <c r="X79" i="4" s="1"/>
  <c r="C52" i="4"/>
  <c r="S53" i="4" s="1"/>
  <c r="D52" i="4"/>
  <c r="T53" i="4" s="1"/>
  <c r="AE59" i="7" l="1"/>
  <c r="AC61" i="7"/>
  <c r="AC62" i="7"/>
  <c r="AC63" i="7"/>
  <c r="AC65" i="7" s="1"/>
  <c r="H67" i="7"/>
  <c r="H71" i="7" s="1"/>
  <c r="J65" i="7"/>
  <c r="C87" i="7"/>
  <c r="C88" i="7"/>
  <c r="E85" i="7"/>
  <c r="C89" i="7"/>
  <c r="C91" i="7" s="1"/>
  <c r="O65" i="7"/>
  <c r="M67" i="7"/>
  <c r="M71" i="7" s="1"/>
  <c r="C67" i="7"/>
  <c r="C71" i="7" s="1"/>
  <c r="E65" i="7"/>
  <c r="S63" i="7"/>
  <c r="S65" i="7" s="1"/>
  <c r="S61" i="7"/>
  <c r="U59" i="7"/>
  <c r="S62" i="7"/>
  <c r="AC89" i="7"/>
  <c r="AC91" i="7" s="1"/>
  <c r="AE85" i="7"/>
  <c r="AC87" i="7"/>
  <c r="AC88" i="7"/>
  <c r="O85" i="7"/>
  <c r="M87" i="7"/>
  <c r="M88" i="7"/>
  <c r="M89" i="7"/>
  <c r="M91" i="7" s="1"/>
  <c r="S88" i="7"/>
  <c r="S89" i="7"/>
  <c r="S91" i="7" s="1"/>
  <c r="S87" i="7"/>
  <c r="U85" i="7"/>
  <c r="H87" i="7"/>
  <c r="H88" i="7"/>
  <c r="J85" i="7"/>
  <c r="H89" i="7"/>
  <c r="H91" i="7" s="1"/>
  <c r="X89" i="7"/>
  <c r="X91" i="7" s="1"/>
  <c r="X88" i="7"/>
  <c r="Z85" i="7"/>
  <c r="X87" i="7"/>
  <c r="Z59" i="7"/>
  <c r="X61" i="7"/>
  <c r="X63" i="7"/>
  <c r="X65" i="7" s="1"/>
  <c r="X62" i="7"/>
  <c r="H87" i="6"/>
  <c r="H89" i="6"/>
  <c r="H91" i="6" s="1"/>
  <c r="H88" i="6"/>
  <c r="J85" i="6"/>
  <c r="E85" i="6"/>
  <c r="C87" i="6"/>
  <c r="C88" i="6"/>
  <c r="C89" i="6"/>
  <c r="C91" i="6" s="1"/>
  <c r="S93" i="6"/>
  <c r="S97" i="6" s="1"/>
  <c r="U91" i="6"/>
  <c r="AC67" i="6"/>
  <c r="AC71" i="6" s="1"/>
  <c r="AE65" i="6"/>
  <c r="O85" i="6"/>
  <c r="M89" i="6"/>
  <c r="M91" i="6" s="1"/>
  <c r="M88" i="6"/>
  <c r="M87" i="6"/>
  <c r="Z65" i="6"/>
  <c r="X67" i="6"/>
  <c r="X71" i="6" s="1"/>
  <c r="C74" i="6"/>
  <c r="E65" i="6"/>
  <c r="H67" i="6"/>
  <c r="H71" i="6" s="1"/>
  <c r="J65" i="6"/>
  <c r="X93" i="6"/>
  <c r="X97" i="6" s="1"/>
  <c r="Z91" i="6"/>
  <c r="O65" i="6"/>
  <c r="M67" i="6"/>
  <c r="M71" i="6" s="1"/>
  <c r="AE91" i="6"/>
  <c r="AC93" i="6"/>
  <c r="AC97" i="6" s="1"/>
  <c r="S67" i="6"/>
  <c r="S71" i="6" s="1"/>
  <c r="U65" i="6"/>
  <c r="H97" i="4"/>
  <c r="J91" i="4"/>
  <c r="O91" i="4"/>
  <c r="M97" i="4"/>
  <c r="AD53" i="4"/>
  <c r="X53" i="4"/>
  <c r="AC53" i="4"/>
  <c r="S79" i="4"/>
  <c r="T79" i="4"/>
  <c r="Y79" i="4"/>
  <c r="C74" i="7" l="1"/>
  <c r="C75" i="7" s="1"/>
  <c r="C73" i="7"/>
  <c r="H74" i="7"/>
  <c r="H75" i="7" s="1"/>
  <c r="H73" i="7"/>
  <c r="S93" i="7"/>
  <c r="S97" i="7" s="1"/>
  <c r="U91" i="7"/>
  <c r="M74" i="7"/>
  <c r="M75" i="7" s="1"/>
  <c r="M73" i="7"/>
  <c r="AE65" i="7"/>
  <c r="AC67" i="7"/>
  <c r="AC71" i="7" s="1"/>
  <c r="S67" i="7"/>
  <c r="S71" i="7" s="1"/>
  <c r="U65" i="7"/>
  <c r="X93" i="7"/>
  <c r="X97" i="7" s="1"/>
  <c r="Z91" i="7"/>
  <c r="AE91" i="7"/>
  <c r="AC93" i="7"/>
  <c r="AC97" i="7" s="1"/>
  <c r="H93" i="7"/>
  <c r="H97" i="7" s="1"/>
  <c r="J91" i="7"/>
  <c r="M93" i="7"/>
  <c r="M97" i="7" s="1"/>
  <c r="O91" i="7"/>
  <c r="C93" i="7"/>
  <c r="C97" i="7" s="1"/>
  <c r="E91" i="7"/>
  <c r="Z65" i="7"/>
  <c r="X67" i="7"/>
  <c r="X71" i="7" s="1"/>
  <c r="X99" i="6"/>
  <c r="X100" i="6"/>
  <c r="X101" i="6" s="1"/>
  <c r="M93" i="6"/>
  <c r="M97" i="6" s="1"/>
  <c r="O91" i="6"/>
  <c r="H74" i="6"/>
  <c r="H75" i="6" s="1"/>
  <c r="H73" i="6"/>
  <c r="S73" i="6"/>
  <c r="S74" i="6"/>
  <c r="S75" i="6" s="1"/>
  <c r="AC99" i="6"/>
  <c r="AC100" i="6"/>
  <c r="AC101" i="6" s="1"/>
  <c r="C73" i="6"/>
  <c r="C75" i="6"/>
  <c r="AC73" i="6"/>
  <c r="AC74" i="6"/>
  <c r="AC75" i="6" s="1"/>
  <c r="C93" i="6"/>
  <c r="C97" i="6" s="1"/>
  <c r="E91" i="6"/>
  <c r="M74" i="6"/>
  <c r="M75" i="6" s="1"/>
  <c r="M73" i="6"/>
  <c r="X73" i="6"/>
  <c r="X74" i="6"/>
  <c r="X75" i="6" s="1"/>
  <c r="H93" i="6"/>
  <c r="H97" i="6" s="1"/>
  <c r="J91" i="6"/>
  <c r="S100" i="6"/>
  <c r="S101" i="6" s="1"/>
  <c r="S99" i="6"/>
  <c r="M100" i="4"/>
  <c r="M101" i="4" s="1"/>
  <c r="M99" i="4"/>
  <c r="H100" i="4"/>
  <c r="H101" i="4" s="1"/>
  <c r="H99" i="4"/>
  <c r="B15" i="4"/>
  <c r="B7" i="4"/>
  <c r="X73" i="7" l="1"/>
  <c r="X74" i="7"/>
  <c r="X75" i="7" s="1"/>
  <c r="X99" i="7"/>
  <c r="X100" i="7"/>
  <c r="X101" i="7" s="1"/>
  <c r="S100" i="7"/>
  <c r="S101" i="7" s="1"/>
  <c r="S99" i="7"/>
  <c r="S73" i="7"/>
  <c r="S74" i="7"/>
  <c r="S75" i="7" s="1"/>
  <c r="AC99" i="7"/>
  <c r="AC100" i="7"/>
  <c r="AC101" i="7" s="1"/>
  <c r="M100" i="7"/>
  <c r="M101" i="7" s="1"/>
  <c r="M99" i="7"/>
  <c r="AC73" i="7"/>
  <c r="AC74" i="7"/>
  <c r="AC75" i="7" s="1"/>
  <c r="C99" i="7"/>
  <c r="C100" i="7"/>
  <c r="C101" i="7" s="1"/>
  <c r="H99" i="7"/>
  <c r="H100" i="7"/>
  <c r="H101" i="7" s="1"/>
  <c r="C100" i="6"/>
  <c r="C101" i="6" s="1"/>
  <c r="C99" i="6"/>
  <c r="M100" i="6"/>
  <c r="M101" i="6" s="1"/>
  <c r="M99" i="6"/>
  <c r="H99" i="6"/>
  <c r="H100" i="6"/>
  <c r="H101" i="6" s="1"/>
  <c r="Y30" i="4"/>
  <c r="Y31" i="4" s="1"/>
  <c r="Y29" i="4" s="1"/>
  <c r="W37" i="4"/>
  <c r="W38" i="4" s="1"/>
  <c r="V37" i="4"/>
  <c r="V38" i="4" s="1"/>
  <c r="V36" i="4" s="1"/>
  <c r="Y37" i="4"/>
  <c r="Y38" i="4" s="1"/>
  <c r="Y36" i="4" s="1"/>
  <c r="V30" i="4"/>
  <c r="V31" i="4" s="1"/>
  <c r="V29" i="4" s="1"/>
  <c r="W30" i="4"/>
  <c r="W31" i="4" s="1"/>
  <c r="B19" i="4"/>
  <c r="F43" i="4" s="1"/>
  <c r="W29" i="4" l="1"/>
  <c r="M95" i="4" s="1"/>
  <c r="W36" i="4"/>
  <c r="B16" i="4"/>
  <c r="B10" i="4" s="1"/>
  <c r="B11" i="4" s="1"/>
  <c r="B8" i="4"/>
  <c r="S20" i="4" s="1"/>
  <c r="C95" i="4" l="1"/>
  <c r="H95" i="4"/>
  <c r="S17" i="4"/>
  <c r="B9" i="4"/>
  <c r="C55" i="4"/>
  <c r="H55" i="4"/>
  <c r="H56" i="4" s="1"/>
  <c r="H69" i="4" s="1"/>
  <c r="M55" i="4"/>
  <c r="M56" i="4" s="1"/>
  <c r="M69" i="4" s="1"/>
  <c r="C84" i="4" l="1"/>
  <c r="C85" i="4" s="1"/>
  <c r="AC82" i="4"/>
  <c r="AC95" i="4" s="1"/>
  <c r="X82" i="4"/>
  <c r="X95" i="4" s="1"/>
  <c r="C56" i="4"/>
  <c r="C69" i="4" s="1"/>
  <c r="AC56" i="4"/>
  <c r="X56" i="4"/>
  <c r="M58" i="4"/>
  <c r="M59" i="4" s="1"/>
  <c r="H58" i="4"/>
  <c r="H59" i="4" s="1"/>
  <c r="E85" i="4" l="1"/>
  <c r="C88" i="4"/>
  <c r="C87" i="4"/>
  <c r="C91" i="4"/>
  <c r="C93" i="4" s="1"/>
  <c r="X58" i="4"/>
  <c r="X59" i="4" s="1"/>
  <c r="X63" i="4" s="1"/>
  <c r="X69" i="4"/>
  <c r="AC58" i="4"/>
  <c r="AC59" i="4" s="1"/>
  <c r="AC63" i="4" s="1"/>
  <c r="AC65" i="4" s="1"/>
  <c r="AE65" i="4" s="1"/>
  <c r="AC69" i="4"/>
  <c r="S82" i="4"/>
  <c r="S95" i="4" s="1"/>
  <c r="C58" i="4"/>
  <c r="C59" i="4" s="1"/>
  <c r="S56" i="4"/>
  <c r="H62" i="4"/>
  <c r="H63" i="4"/>
  <c r="H65" i="4" s="1"/>
  <c r="J65" i="4" s="1"/>
  <c r="O59" i="4"/>
  <c r="M63" i="4"/>
  <c r="M65" i="4" s="1"/>
  <c r="O65" i="4" s="1"/>
  <c r="M62" i="4"/>
  <c r="J59" i="4"/>
  <c r="M61" i="4"/>
  <c r="H61" i="4"/>
  <c r="X61" i="4" l="1"/>
  <c r="AC62" i="4"/>
  <c r="X62" i="4"/>
  <c r="AC61" i="4"/>
  <c r="Z59" i="4"/>
  <c r="AE59" i="4"/>
  <c r="C97" i="4"/>
  <c r="E91" i="4"/>
  <c r="S58" i="4"/>
  <c r="S59" i="4" s="1"/>
  <c r="S69" i="4"/>
  <c r="C62" i="4"/>
  <c r="C61" i="4"/>
  <c r="X65" i="4"/>
  <c r="Z65" i="4" s="1"/>
  <c r="H67" i="4"/>
  <c r="H71" i="4" s="1"/>
  <c r="AC67" i="4"/>
  <c r="M67" i="4"/>
  <c r="M71" i="4" s="1"/>
  <c r="E59" i="4"/>
  <c r="C63" i="4"/>
  <c r="C99" i="4" l="1"/>
  <c r="C100" i="4"/>
  <c r="C101" i="4" s="1"/>
  <c r="S63" i="4"/>
  <c r="S65" i="4" s="1"/>
  <c r="S61" i="4"/>
  <c r="U59" i="4"/>
  <c r="S62" i="4"/>
  <c r="AC71" i="4"/>
  <c r="AC73" i="4" s="1"/>
  <c r="X67" i="4"/>
  <c r="C65" i="4"/>
  <c r="AC84" i="4"/>
  <c r="AC85" i="4" s="1"/>
  <c r="S84" i="4"/>
  <c r="S85" i="4" s="1"/>
  <c r="X84" i="4"/>
  <c r="X85" i="4" s="1"/>
  <c r="M74" i="4"/>
  <c r="M75" i="4" s="1"/>
  <c r="M73" i="4"/>
  <c r="H73" i="4"/>
  <c r="H74" i="4"/>
  <c r="H75" i="4" s="1"/>
  <c r="U65" i="4" l="1"/>
  <c r="S67" i="4"/>
  <c r="S71" i="4" s="1"/>
  <c r="S74" i="4" s="1"/>
  <c r="S75" i="4" s="1"/>
  <c r="AC74" i="4"/>
  <c r="AC75" i="4" s="1"/>
  <c r="X71" i="4"/>
  <c r="X74" i="4" s="1"/>
  <c r="X75" i="4" s="1"/>
  <c r="C67" i="4"/>
  <c r="C71" i="4" s="1"/>
  <c r="E65" i="4"/>
  <c r="U85" i="4"/>
  <c r="S88" i="4"/>
  <c r="S89" i="4"/>
  <c r="S91" i="4" s="1"/>
  <c r="U91" i="4" s="1"/>
  <c r="Z85" i="4"/>
  <c r="X89" i="4"/>
  <c r="X91" i="4" s="1"/>
  <c r="Z91" i="4" s="1"/>
  <c r="X88" i="4"/>
  <c r="AE85" i="4"/>
  <c r="AC89" i="4"/>
  <c r="AC91" i="4" s="1"/>
  <c r="AE91" i="4" s="1"/>
  <c r="AC88" i="4"/>
  <c r="X87" i="4"/>
  <c r="S87" i="4"/>
  <c r="AC87" i="4"/>
  <c r="S73" i="4" l="1"/>
  <c r="X73" i="4"/>
  <c r="S93" i="4"/>
  <c r="C73" i="4"/>
  <c r="C74" i="4"/>
  <c r="C75" i="4" s="1"/>
  <c r="AC93" i="4"/>
  <c r="X93" i="4"/>
  <c r="X97" i="4" l="1"/>
  <c r="X99" i="4" s="1"/>
  <c r="AC97" i="4"/>
  <c r="AC100" i="4" s="1"/>
  <c r="AC101" i="4" s="1"/>
  <c r="S97" i="4"/>
  <c r="S99" i="4" s="1"/>
  <c r="X100" i="4"/>
  <c r="X101" i="4" s="1"/>
  <c r="AC99" i="4" l="1"/>
  <c r="S100" i="4"/>
  <c r="S101" i="4" s="1"/>
</calcChain>
</file>

<file path=xl/sharedStrings.xml><?xml version="1.0" encoding="utf-8"?>
<sst xmlns="http://schemas.openxmlformats.org/spreadsheetml/2006/main" count="1353" uniqueCount="140">
  <si>
    <t>INPUTS</t>
  </si>
  <si>
    <t>Member</t>
  </si>
  <si>
    <t>D =</t>
  </si>
  <si>
    <t>I =</t>
  </si>
  <si>
    <t>(fixed-hinged)</t>
  </si>
  <si>
    <t>(fixed-fixed)</t>
  </si>
  <si>
    <t>S =</t>
  </si>
  <si>
    <t>A =</t>
  </si>
  <si>
    <t>lb/ft</t>
  </si>
  <si>
    <t>=</t>
  </si>
  <si>
    <t xml:space="preserve">E = </t>
  </si>
  <si>
    <t>L =</t>
  </si>
  <si>
    <t>OUTPUTS</t>
  </si>
  <si>
    <t xml:space="preserve">where </t>
  </si>
  <si>
    <t>rad/sec</t>
  </si>
  <si>
    <t xml:space="preserve"> </t>
  </si>
  <si>
    <t>Hz</t>
  </si>
  <si>
    <t>m^2/sec</t>
  </si>
  <si>
    <t>m/s</t>
  </si>
  <si>
    <t>C1 =</t>
  </si>
  <si>
    <t>C2 =</t>
  </si>
  <si>
    <t>N/m</t>
  </si>
  <si>
    <t>UDL =</t>
  </si>
  <si>
    <t>kN/m</t>
  </si>
  <si>
    <t xml:space="preserve"> UDL=</t>
  </si>
  <si>
    <t>Moment =</t>
  </si>
  <si>
    <t>Stress =</t>
  </si>
  <si>
    <t>t =</t>
  </si>
  <si>
    <t>VORTEX SHEDDING</t>
  </si>
  <si>
    <t>N/m^2</t>
  </si>
  <si>
    <t>w =</t>
  </si>
  <si>
    <t>µ =</t>
  </si>
  <si>
    <t>n =</t>
  </si>
  <si>
    <t>kN-m</t>
  </si>
  <si>
    <t>Lu =</t>
  </si>
  <si>
    <t>MPa</t>
  </si>
  <si>
    <t xml:space="preserve">Op. Wind = </t>
  </si>
  <si>
    <t>q =</t>
  </si>
  <si>
    <t xml:space="preserve">St. Wind = </t>
  </si>
  <si>
    <t>M =</t>
  </si>
  <si>
    <t>PIPE 406.4 O.D.x 9.5 wall thk</t>
  </si>
  <si>
    <t>Effect of Axial Load</t>
  </si>
  <si>
    <t>α =</t>
  </si>
  <si>
    <t>Mode Number</t>
  </si>
  <si>
    <t>F =</t>
  </si>
  <si>
    <t>lbs, Dead Load Only (+ tensile force - compressive force)</t>
  </si>
  <si>
    <t>No Axial Force (Non-Operating, Parked In Bolster)</t>
  </si>
  <si>
    <t>Mode</t>
  </si>
  <si>
    <t>lbs, DL + Normal Operating Materail (+ tens - comp)</t>
  </si>
  <si>
    <t>Effect of Axial Load (Dead Load + Normal Operating Material &lt;Operating Case&gt;)</t>
  </si>
  <si>
    <t>Effect of Axial Load (Dead Load Only &lt;Operating Case&gt;)</t>
  </si>
  <si>
    <r>
      <rPr>
        <sz val="11"/>
        <color theme="1"/>
        <rFont val="Calibri"/>
        <family val="2"/>
        <scheme val="minor"/>
      </rPr>
      <t>ω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</t>
    </r>
  </si>
  <si>
    <r>
      <rPr>
        <sz val="11"/>
        <color theme="1"/>
        <rFont val="Calibri"/>
        <family val="2"/>
        <scheme val="minor"/>
      </rPr>
      <t>ω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(1±α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0.5</t>
    </r>
  </si>
  <si>
    <r>
      <t>FL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/EIπ</t>
    </r>
    <r>
      <rPr>
        <vertAlign val="superscript"/>
        <sz val="11"/>
        <color theme="1"/>
        <rFont val="Calibri"/>
        <family val="2"/>
        <scheme val="minor"/>
      </rPr>
      <t>2</t>
    </r>
  </si>
  <si>
    <r>
      <t>ω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</si>
  <si>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r>
      <rPr>
        <sz val="11"/>
        <color theme="1"/>
        <rFont val="Calibri"/>
        <family val="2"/>
        <scheme val="minor"/>
      </rPr>
      <t>ω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</si>
  <si>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Strouhal Number</t>
  </si>
  <si>
    <t>where</t>
  </si>
  <si>
    <t xml:space="preserve"> E =</t>
  </si>
  <si>
    <t>(Harris, C.M. - Shock and Vibration Handbook  5th Edition pg 1.13)</t>
  </si>
  <si>
    <t xml:space="preserve">  (Harris, C.M. - Shock and Vibration Handbook 5th Edition pg 7.21)</t>
  </si>
  <si>
    <t>A=</t>
  </si>
  <si>
    <t>Coefficient from Table</t>
  </si>
  <si>
    <t>Lenth of Beam, in</t>
  </si>
  <si>
    <r>
      <t>Area Moment of Inertial of Beam Cross Section, in</t>
    </r>
    <r>
      <rPr>
        <vertAlign val="superscript"/>
        <sz val="11"/>
        <color theme="1"/>
        <rFont val="Calibri"/>
        <family val="2"/>
        <scheme val="minor"/>
      </rPr>
      <t>4</t>
    </r>
  </si>
  <si>
    <r>
      <t>mass per unit length of beam, lb-sec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/in</t>
    </r>
    <r>
      <rPr>
        <vertAlign val="superscript"/>
        <sz val="11"/>
        <rFont val="Calibri"/>
        <family val="2"/>
        <scheme val="minor"/>
      </rPr>
      <t>2</t>
    </r>
  </si>
  <si>
    <r>
      <t>Young's Modulus, lb/in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</si>
  <si>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Calibri"/>
        <family val="2"/>
        <scheme val="minor"/>
      </rPr>
      <t>A*(EI/(μL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))</t>
    </r>
    <r>
      <rPr>
        <vertAlign val="superscript"/>
        <sz val="11"/>
        <color theme="1"/>
        <rFont val="Calibri"/>
        <family val="2"/>
        <scheme val="minor"/>
      </rPr>
      <t>0.5</t>
    </r>
  </si>
  <si>
    <r>
      <t>ω</t>
    </r>
    <r>
      <rPr>
        <vertAlign val="subscript"/>
        <sz val="11"/>
        <rFont val="Calibri"/>
        <family val="2"/>
        <scheme val="minor"/>
      </rPr>
      <t>0</t>
    </r>
    <r>
      <rPr>
        <sz val="11"/>
        <rFont val="Calibri"/>
        <family val="2"/>
        <scheme val="minor"/>
      </rPr>
      <t>*D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=</t>
    </r>
  </si>
  <si>
    <r>
      <t>ω</t>
    </r>
    <r>
      <rPr>
        <vertAlign val="subscript"/>
        <sz val="11"/>
        <rFont val="Calibri"/>
        <family val="2"/>
        <scheme val="minor"/>
      </rPr>
      <t>n</t>
    </r>
    <r>
      <rPr>
        <sz val="11"/>
        <rFont val="Calibri"/>
        <family val="2"/>
        <scheme val="minor"/>
      </rPr>
      <t>*D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=</t>
    </r>
  </si>
  <si>
    <r>
      <t>V</t>
    </r>
    <r>
      <rPr>
        <vertAlign val="subscript"/>
        <sz val="11"/>
        <rFont val="Calibri"/>
        <family val="2"/>
        <scheme val="minor"/>
      </rPr>
      <t>h</t>
    </r>
    <r>
      <rPr>
        <sz val="11"/>
        <rFont val="Calibri"/>
        <family val="2"/>
        <scheme val="minor"/>
      </rPr>
      <t>=</t>
    </r>
  </si>
  <si>
    <r>
      <t>in</t>
    </r>
    <r>
      <rPr>
        <vertAlign val="superscript"/>
        <sz val="11"/>
        <rFont val="Calibri"/>
        <family val="2"/>
        <scheme val="minor"/>
      </rPr>
      <t>4</t>
    </r>
  </si>
  <si>
    <r>
      <t>in</t>
    </r>
    <r>
      <rPr>
        <vertAlign val="superscript"/>
        <sz val="11"/>
        <rFont val="Calibri"/>
        <family val="2"/>
        <scheme val="minor"/>
      </rPr>
      <t>3</t>
    </r>
  </si>
  <si>
    <r>
      <t>lb*sec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/in</t>
    </r>
    <r>
      <rPr>
        <vertAlign val="superscript"/>
        <sz val="11"/>
        <rFont val="Calibri"/>
        <family val="2"/>
        <scheme val="minor"/>
      </rPr>
      <t>2</t>
    </r>
  </si>
  <si>
    <r>
      <t>lb/in</t>
    </r>
    <r>
      <rPr>
        <vertAlign val="superscript"/>
        <sz val="11"/>
        <rFont val="Calibri"/>
        <family val="2"/>
        <scheme val="minor"/>
      </rPr>
      <t>2</t>
    </r>
  </si>
  <si>
    <r>
      <t>in</t>
    </r>
    <r>
      <rPr>
        <vertAlign val="superscript"/>
        <sz val="11"/>
        <rFont val="Calibri"/>
        <family val="2"/>
        <scheme val="minor"/>
      </rPr>
      <t>2</t>
    </r>
  </si>
  <si>
    <t>(Suppliment to the National Building Code of Canada 1990, Pg 149, Eq. 11)</t>
  </si>
  <si>
    <t>(Suppliment to the National Building Code of Canada 1990, Pg 149, Eq. 11a, 11b, 11c)</t>
  </si>
  <si>
    <r>
      <t>V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= </t>
    </r>
  </si>
  <si>
    <r>
      <t>(1 / S )* ω</t>
    </r>
    <r>
      <rPr>
        <vertAlign val="subscript"/>
        <sz val="11"/>
        <rFont val="Calibri"/>
        <family val="2"/>
        <scheme val="minor"/>
      </rPr>
      <t xml:space="preserve">0 </t>
    </r>
    <r>
      <rPr>
        <sz val="11"/>
        <rFont val="Calibri"/>
        <family val="2"/>
        <scheme val="minor"/>
      </rPr>
      <t>* D</t>
    </r>
  </si>
  <si>
    <r>
      <t>F</t>
    </r>
    <r>
      <rPr>
        <vertAlign val="subscript"/>
        <sz val="11"/>
        <color theme="1"/>
        <rFont val="Calibri"/>
        <family val="2"/>
        <scheme val="minor"/>
      </rPr>
      <t xml:space="preserve">L </t>
    </r>
    <r>
      <rPr>
        <sz val="11"/>
        <color theme="1"/>
        <rFont val="Calibri"/>
        <family val="2"/>
        <scheme val="minor"/>
      </rPr>
      <t>=</t>
    </r>
  </si>
  <si>
    <r>
      <t>C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/(λ</t>
    </r>
    <r>
      <rPr>
        <vertAlign val="superscript"/>
        <sz val="11"/>
        <rFont val="Calibri"/>
        <family val="2"/>
        <scheme val="minor"/>
      </rPr>
      <t>0.5</t>
    </r>
    <r>
      <rPr>
        <sz val="11"/>
        <rFont val="Calibri"/>
        <family val="2"/>
        <scheme val="minor"/>
      </rPr>
      <t>*(β-C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(ρD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)/M)</t>
    </r>
    <r>
      <rPr>
        <vertAlign val="superscript"/>
        <sz val="11"/>
        <rFont val="Calibri"/>
        <family val="2"/>
        <scheme val="minor"/>
      </rPr>
      <t>0.5</t>
    </r>
    <r>
      <rPr>
        <sz val="11"/>
        <rFont val="Calibri"/>
        <family val="2"/>
        <scheme val="minor"/>
      </rPr>
      <t>)*q</t>
    </r>
    <r>
      <rPr>
        <vertAlign val="subscript"/>
        <sz val="11"/>
        <rFont val="Calibri"/>
        <family val="2"/>
        <scheme val="minor"/>
      </rPr>
      <t>H</t>
    </r>
    <r>
      <rPr>
        <sz val="11"/>
        <rFont val="Calibri"/>
        <family val="2"/>
        <scheme val="minor"/>
      </rPr>
      <t>*D</t>
    </r>
  </si>
  <si>
    <t>(Suppliment to the National Building Code of Canada 1990, Pg 146, 22. Steel frames)</t>
  </si>
  <si>
    <t>λ =</t>
  </si>
  <si>
    <t>β =</t>
  </si>
  <si>
    <t>ρ =</t>
  </si>
  <si>
    <r>
      <t>q</t>
    </r>
    <r>
      <rPr>
        <vertAlign val="subscript"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=</t>
    </r>
  </si>
  <si>
    <r>
      <t>C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=</t>
    </r>
  </si>
  <si>
    <r>
      <t>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</si>
  <si>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t>Constant 1</t>
  </si>
  <si>
    <t>(Suppliment to the National Building Code of Canada 1990, Pg 150, Eq. 12)</t>
  </si>
  <si>
    <t>Mean Wind Speed, m/s</t>
  </si>
  <si>
    <t>Diameter, in</t>
  </si>
  <si>
    <t>Angular Natural Frequency (No Axial Force), Hz</t>
  </si>
  <si>
    <t>Aspect Ratio (H/D)</t>
  </si>
  <si>
    <t>Critical Dampening Ratio as Defined for Equation (9)</t>
  </si>
  <si>
    <t>Constant 2</t>
  </si>
  <si>
    <t>Density of Air =</t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</si>
  <si>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</si>
  <si>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t xml:space="preserve">Diameter, m </t>
  </si>
  <si>
    <t>Average Mass per Unit Length Over the Top One-Third of the Structure, kg/m</t>
  </si>
  <si>
    <t>in Pa</t>
  </si>
  <si>
    <r>
      <t>Velocity Pressure Corresponding to V</t>
    </r>
    <r>
      <rPr>
        <vertAlign val="subscript"/>
        <sz val="11"/>
        <color theme="1"/>
        <rFont val="Calibri"/>
        <family val="2"/>
        <scheme val="minor"/>
      </rPr>
      <t>H'</t>
    </r>
    <r>
      <rPr>
        <sz val="11"/>
        <color theme="1"/>
        <rFont val="Calibri"/>
        <family val="2"/>
        <scheme val="minor"/>
      </rPr>
      <t xml:space="preserve"> Where V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is in m/s =</t>
    </r>
  </si>
  <si>
    <r>
      <t>0.6*V</t>
    </r>
    <r>
      <rPr>
        <vertAlign val="subscript"/>
        <sz val="11"/>
        <color theme="1"/>
        <rFont val="Calibri"/>
        <family val="2"/>
        <scheme val="minor"/>
      </rPr>
      <t>H</t>
    </r>
    <r>
      <rPr>
        <vertAlign val="superscript"/>
        <sz val="11"/>
        <color theme="1"/>
        <rFont val="Calibri"/>
        <family val="2"/>
        <scheme val="minor"/>
      </rPr>
      <t>2</t>
    </r>
  </si>
  <si>
    <t>H =</t>
  </si>
  <si>
    <r>
      <t>Vel. Pressure, q</t>
    </r>
    <r>
      <rPr>
        <vertAlign val="subscript"/>
        <sz val="11"/>
        <rFont val="Calibri"/>
        <family val="2"/>
        <scheme val="minor"/>
      </rPr>
      <t>H</t>
    </r>
    <r>
      <rPr>
        <sz val="11"/>
        <rFont val="Calibri"/>
        <family val="2"/>
        <scheme val="minor"/>
      </rPr>
      <t xml:space="preserve"> =</t>
    </r>
  </si>
  <si>
    <r>
      <t>C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=</t>
    </r>
  </si>
  <si>
    <r>
      <t>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=</t>
    </r>
  </si>
  <si>
    <r>
      <t>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(ρD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)/M) = </t>
    </r>
  </si>
  <si>
    <t>Height of the Structure, m</t>
  </si>
  <si>
    <t>1 / 3 * L</t>
  </si>
  <si>
    <t>For Mode 2</t>
  </si>
  <si>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 xml:space="preserve"> =</t>
    </r>
  </si>
  <si>
    <t>Length of Unsupported Structure, in</t>
  </si>
  <si>
    <t>Wall Thickness, in</t>
  </si>
  <si>
    <t>Pipe Diameter, in</t>
  </si>
  <si>
    <t>Natural Frequency, rad/sec</t>
  </si>
  <si>
    <t>Static Force Approximation From Dynamic Vortex Effect, N/m</t>
  </si>
  <si>
    <r>
      <t>If ; 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(ρD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)/M) &gt; 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 xml:space="preserve"> Then Large Amplitued Motions, Up to 1 x D, May Result</t>
    </r>
  </si>
  <si>
    <r>
      <t>N/m</t>
    </r>
    <r>
      <rPr>
        <vertAlign val="superscript"/>
        <sz val="11"/>
        <rFont val="Calibri"/>
        <family val="2"/>
        <scheme val="minor"/>
      </rPr>
      <t>2</t>
    </r>
  </si>
  <si>
    <t>Max Operating Wind =</t>
  </si>
  <si>
    <t>Max Non-Operating Wind =</t>
  </si>
  <si>
    <t>Single Degree of Freedon (SDOF) Dymanmic Modification Factor (DMF) from "The Nature of Wind Loads and Dynamic Response" Boggs and Dragovich 2006 - Figure 7</t>
  </si>
  <si>
    <t>&gt;0.75</t>
  </si>
  <si>
    <t>&lt;0.5</t>
  </si>
  <si>
    <r>
      <t>ω</t>
    </r>
    <r>
      <rPr>
        <vertAlign val="subscript"/>
        <sz val="11"/>
        <rFont val="Calibri"/>
        <family val="2"/>
        <scheme val="minor"/>
      </rPr>
      <t>0</t>
    </r>
    <r>
      <rPr>
        <sz val="11"/>
        <rFont val="Calibri"/>
        <family val="2"/>
        <scheme val="minor"/>
      </rPr>
      <t>*D</t>
    </r>
    <r>
      <rPr>
        <vertAlign val="superscript"/>
        <sz val="11"/>
        <rFont val="Calibri"/>
        <family val="2"/>
        <scheme val="minor"/>
      </rPr>
      <t>2</t>
    </r>
  </si>
  <si>
    <r>
      <t>f / f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</si>
  <si>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r>
      <t>│H(f)</t>
    </r>
    <r>
      <rPr>
        <sz val="11"/>
        <color rgb="FF0070C0"/>
        <rFont val="Calibri"/>
        <family val="2"/>
      </rPr>
      <t>│=</t>
    </r>
  </si>
  <si>
    <t>Natural Frequency with no axial force, Hz</t>
  </si>
  <si>
    <t>Natural Frequency with Axial Force, Hz</t>
  </si>
  <si>
    <t>23073 - Original Discharge Boom 04155/05050</t>
  </si>
  <si>
    <t>DMF (Figure 7)</t>
  </si>
  <si>
    <r>
      <t>f / ωf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</si>
  <si>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Dampening Ratio ( ζ )</t>
  </si>
  <si>
    <t>lbs, Unloaded Cylinder, Luffing Structure Load (+ tensile force - compressive force)</t>
  </si>
  <si>
    <t>Unloaded Cylinder, Luffing Structrue Load (Non-Operating, Parked In Bolster)</t>
  </si>
  <si>
    <t>&lt;0.75 and &gt;0.5</t>
  </si>
  <si>
    <t>23073 - Modified Discharge Boom 04155/05050</t>
  </si>
  <si>
    <t>23073 - Modified Discharge Boom 04155/05050 - Added Luffing Structural Supports</t>
  </si>
  <si>
    <t>Unloaded Cylinder, Luffing Structrue Load (Supported in Bolster, Storm Wind)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</si>
</sst>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8" formatCode="0.0000000"/>
  </numFmts>
  <fonts count="15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name val="Calibri"/>
      <family val="2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double">
        <color indexed="10"/>
      </bottom>
      <diagonal/>
    </border>
    <border>
      <left style="double">
        <color indexed="16"/>
      </left>
      <right/>
      <top style="double">
        <color indexed="16"/>
      </top>
      <bottom/>
      <diagonal/>
    </border>
    <border>
      <left/>
      <right/>
      <top style="double">
        <color indexed="16"/>
      </top>
      <bottom/>
      <diagonal/>
    </border>
    <border>
      <left style="double">
        <color indexed="16"/>
      </left>
      <right/>
      <top/>
      <bottom/>
      <diagonal/>
    </border>
    <border>
      <left style="double">
        <color indexed="16"/>
      </left>
      <right/>
      <top/>
      <bottom style="double">
        <color indexed="16"/>
      </bottom>
      <diagonal/>
    </border>
    <border>
      <left/>
      <right/>
      <top/>
      <bottom style="double">
        <color indexed="16"/>
      </bottom>
      <diagonal/>
    </border>
    <border>
      <left/>
      <right style="double">
        <color indexed="16"/>
      </right>
      <top/>
      <bottom style="double">
        <color indexed="1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theme="5" tint="-0.499984740745262"/>
      </right>
      <top/>
      <bottom/>
      <diagonal/>
    </border>
    <border>
      <left/>
      <right style="double">
        <color theme="5" tint="-0.499984740745262"/>
      </right>
      <top style="double">
        <color theme="5" tint="-0.499984740745262"/>
      </top>
      <bottom/>
      <diagonal/>
    </border>
    <border>
      <left style="double">
        <color indexed="10"/>
      </left>
      <right/>
      <top style="double">
        <color indexed="10"/>
      </top>
      <bottom style="double">
        <color indexed="10"/>
      </bottom>
      <diagonal/>
    </border>
    <border>
      <left/>
      <right/>
      <top style="double">
        <color indexed="10"/>
      </top>
      <bottom style="double">
        <color indexed="10"/>
      </bottom>
      <diagonal/>
    </border>
    <border>
      <left/>
      <right style="double">
        <color indexed="10"/>
      </right>
      <top style="double">
        <color indexed="10"/>
      </top>
      <bottom style="double">
        <color indexed="10"/>
      </bottom>
      <diagonal/>
    </border>
    <border>
      <left style="double">
        <color indexed="12"/>
      </left>
      <right/>
      <top style="double">
        <color indexed="12"/>
      </top>
      <bottom style="double">
        <color indexed="12"/>
      </bottom>
      <diagonal/>
    </border>
    <border>
      <left/>
      <right/>
      <top style="double">
        <color indexed="12"/>
      </top>
      <bottom style="double">
        <color indexed="12"/>
      </bottom>
      <diagonal/>
    </border>
    <border>
      <left/>
      <right style="double">
        <color indexed="12"/>
      </right>
      <top style="double">
        <color indexed="12"/>
      </top>
      <bottom style="double">
        <color indexed="12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0" borderId="0" xfId="0" applyFont="1" applyAlignment="1">
      <alignment horizontal="right"/>
    </xf>
    <xf numFmtId="0" fontId="3" fillId="0" borderId="0" xfId="1" applyFont="1" applyAlignment="1">
      <alignment horizontal="right"/>
    </xf>
    <xf numFmtId="0" fontId="3" fillId="0" borderId="0" xfId="1" applyFont="1"/>
    <xf numFmtId="2" fontId="3" fillId="0" borderId="0" xfId="1" applyNumberFormat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0" fillId="0" borderId="14" xfId="0" applyBorder="1"/>
    <xf numFmtId="0" fontId="0" fillId="0" borderId="20" xfId="0" applyBorder="1"/>
    <xf numFmtId="0" fontId="0" fillId="0" borderId="0" xfId="0" quotePrefix="1"/>
    <xf numFmtId="1" fontId="0" fillId="2" borderId="0" xfId="0" applyNumberForma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1" applyFont="1"/>
    <xf numFmtId="0" fontId="4" fillId="0" borderId="21" xfId="1" applyFont="1" applyBorder="1" applyAlignment="1">
      <alignment horizontal="centerContinuous"/>
    </xf>
    <xf numFmtId="0" fontId="3" fillId="0" borderId="21" xfId="1" applyFont="1" applyBorder="1" applyAlignment="1">
      <alignment horizontal="centerContinuous"/>
    </xf>
    <xf numFmtId="0" fontId="3" fillId="0" borderId="16" xfId="1" applyFont="1" applyBorder="1"/>
    <xf numFmtId="0" fontId="3" fillId="0" borderId="18" xfId="1" applyFont="1" applyBorder="1"/>
    <xf numFmtId="0" fontId="3" fillId="2" borderId="0" xfId="1" applyFont="1" applyFill="1" applyAlignment="1">
      <alignment horizontal="center"/>
    </xf>
    <xf numFmtId="0" fontId="3" fillId="0" borderId="20" xfId="1" applyFont="1" applyBorder="1"/>
    <xf numFmtId="165" fontId="3" fillId="0" borderId="0" xfId="1" applyNumberFormat="1" applyFont="1"/>
    <xf numFmtId="0" fontId="4" fillId="0" borderId="0" xfId="1" applyFont="1" applyAlignment="1">
      <alignment horizontal="center"/>
    </xf>
    <xf numFmtId="0" fontId="3" fillId="0" borderId="13" xfId="1" applyFont="1" applyBorder="1"/>
    <xf numFmtId="0" fontId="3" fillId="0" borderId="19" xfId="1" applyFont="1" applyBorder="1"/>
    <xf numFmtId="164" fontId="3" fillId="0" borderId="0" xfId="1" applyNumberFormat="1" applyFont="1"/>
    <xf numFmtId="0" fontId="3" fillId="0" borderId="17" xfId="1" applyFont="1" applyBorder="1"/>
    <xf numFmtId="0" fontId="3" fillId="0" borderId="16" xfId="1" applyFont="1" applyBorder="1" applyAlignment="1">
      <alignment horizontal="right"/>
    </xf>
    <xf numFmtId="0" fontId="3" fillId="0" borderId="14" xfId="1" applyFont="1" applyBorder="1"/>
    <xf numFmtId="0" fontId="3" fillId="0" borderId="15" xfId="1" applyFont="1" applyBorder="1"/>
    <xf numFmtId="0" fontId="3" fillId="0" borderId="13" xfId="1" applyFont="1" applyBorder="1" applyAlignment="1">
      <alignment horizontal="right"/>
    </xf>
    <xf numFmtId="0" fontId="4" fillId="0" borderId="13" xfId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2" fontId="3" fillId="0" borderId="25" xfId="1" applyNumberFormat="1" applyFont="1" applyBorder="1"/>
    <xf numFmtId="0" fontId="3" fillId="0" borderId="26" xfId="1" applyFont="1" applyBorder="1"/>
    <xf numFmtId="0" fontId="3" fillId="0" borderId="27" xfId="1" applyFont="1" applyBorder="1" applyAlignment="1">
      <alignment horizontal="right"/>
    </xf>
    <xf numFmtId="2" fontId="3" fillId="0" borderId="28" xfId="1" applyNumberFormat="1" applyFont="1" applyBorder="1"/>
    <xf numFmtId="0" fontId="3" fillId="0" borderId="29" xfId="1" applyFont="1" applyBorder="1"/>
    <xf numFmtId="0" fontId="4" fillId="0" borderId="20" xfId="1" applyFont="1" applyBorder="1" applyAlignment="1">
      <alignment horizontal="center"/>
    </xf>
    <xf numFmtId="2" fontId="3" fillId="0" borderId="5" xfId="1" applyNumberFormat="1" applyFont="1" applyBorder="1"/>
    <xf numFmtId="0" fontId="3" fillId="0" borderId="2" xfId="1" applyFont="1" applyBorder="1"/>
    <xf numFmtId="2" fontId="3" fillId="0" borderId="6" xfId="1" applyNumberFormat="1" applyFont="1" applyBorder="1"/>
    <xf numFmtId="0" fontId="3" fillId="0" borderId="4" xfId="1" applyFont="1" applyBorder="1"/>
    <xf numFmtId="164" fontId="0" fillId="0" borderId="0" xfId="0" applyNumberFormat="1"/>
    <xf numFmtId="0" fontId="4" fillId="0" borderId="16" xfId="1" applyFont="1" applyBorder="1" applyAlignment="1">
      <alignment horizontal="right"/>
    </xf>
    <xf numFmtId="0" fontId="4" fillId="0" borderId="16" xfId="1" applyFont="1" applyBorder="1" applyAlignment="1">
      <alignment horizontal="left"/>
    </xf>
    <xf numFmtId="0" fontId="0" fillId="0" borderId="24" xfId="0" applyBorder="1" applyAlignment="1">
      <alignment horizontal="right"/>
    </xf>
    <xf numFmtId="0" fontId="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6" fillId="0" borderId="0" xfId="1" applyFont="1"/>
    <xf numFmtId="0" fontId="6" fillId="0" borderId="14" xfId="1" applyFont="1" applyBorder="1"/>
    <xf numFmtId="0" fontId="6" fillId="0" borderId="20" xfId="1" applyFont="1" applyBorder="1"/>
    <xf numFmtId="0" fontId="6" fillId="0" borderId="0" xfId="0" applyFont="1"/>
    <xf numFmtId="0" fontId="7" fillId="0" borderId="0" xfId="0" applyFont="1" applyAlignment="1">
      <alignment horizontal="right"/>
    </xf>
    <xf numFmtId="2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1" fontId="3" fillId="2" borderId="0" xfId="1" applyNumberFormat="1" applyFont="1" applyFill="1" applyAlignment="1">
      <alignment horizontal="center"/>
    </xf>
    <xf numFmtId="11" fontId="3" fillId="0" borderId="0" xfId="1" applyNumberFormat="1" applyFont="1" applyAlignment="1">
      <alignment horizontal="center"/>
    </xf>
    <xf numFmtId="1" fontId="3" fillId="2" borderId="0" xfId="1" applyNumberFormat="1" applyFont="1" applyFill="1" applyAlignment="1">
      <alignment horizontal="center"/>
    </xf>
    <xf numFmtId="2" fontId="3" fillId="2" borderId="0" xfId="1" applyNumberFormat="1" applyFont="1" applyFill="1" applyAlignment="1">
      <alignment horizontal="center"/>
    </xf>
    <xf numFmtId="164" fontId="3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1" fontId="3" fillId="0" borderId="0" xfId="1" applyNumberFormat="1" applyFont="1" applyAlignment="1">
      <alignment horizontal="center"/>
    </xf>
    <xf numFmtId="0" fontId="3" fillId="0" borderId="7" xfId="1" applyFont="1" applyBorder="1" applyAlignment="1">
      <alignment horizontal="right"/>
    </xf>
    <xf numFmtId="2" fontId="3" fillId="0" borderId="8" xfId="1" applyNumberFormat="1" applyFont="1" applyBorder="1"/>
    <xf numFmtId="0" fontId="3" fillId="0" borderId="23" xfId="1" applyFont="1" applyBorder="1"/>
    <xf numFmtId="0" fontId="3" fillId="0" borderId="9" xfId="1" applyFont="1" applyBorder="1" applyAlignment="1">
      <alignment horizontal="right"/>
    </xf>
    <xf numFmtId="0" fontId="3" fillId="0" borderId="22" xfId="1" applyFont="1" applyBorder="1"/>
    <xf numFmtId="0" fontId="3" fillId="0" borderId="10" xfId="1" applyFont="1" applyBorder="1" applyAlignment="1">
      <alignment horizontal="right"/>
    </xf>
    <xf numFmtId="2" fontId="3" fillId="0" borderId="11" xfId="1" applyNumberFormat="1" applyFont="1" applyBorder="1"/>
    <xf numFmtId="0" fontId="3" fillId="0" borderId="12" xfId="1" applyFont="1" applyBorder="1"/>
    <xf numFmtId="0" fontId="13" fillId="0" borderId="0" xfId="0" applyFont="1"/>
    <xf numFmtId="0" fontId="0" fillId="0" borderId="0" xfId="0" applyAlignment="1">
      <alignment horizontal="right"/>
    </xf>
    <xf numFmtId="2" fontId="0" fillId="0" borderId="0" xfId="0" quotePrefix="1" applyNumberFormat="1" applyAlignment="1">
      <alignment horizont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3" fillId="0" borderId="0" xfId="1" applyFont="1"/>
    <xf numFmtId="0" fontId="13" fillId="0" borderId="14" xfId="1" applyFont="1" applyBorder="1"/>
    <xf numFmtId="0" fontId="0" fillId="0" borderId="0" xfId="0" applyAlignment="1">
      <alignment horizontal="left"/>
    </xf>
    <xf numFmtId="0" fontId="13" fillId="2" borderId="0" xfId="1" applyFont="1" applyFill="1"/>
    <xf numFmtId="0" fontId="13" fillId="0" borderId="0" xfId="1" applyFont="1" applyAlignment="1">
      <alignment horizontal="right"/>
    </xf>
    <xf numFmtId="0" fontId="13" fillId="0" borderId="20" xfId="1" applyFont="1" applyBorder="1" applyAlignment="1">
      <alignment horizontal="right"/>
    </xf>
    <xf numFmtId="164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20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13" fillId="0" borderId="0" xfId="0" applyFont="1" applyAlignment="1">
      <alignment horizontal="center"/>
    </xf>
    <xf numFmtId="1" fontId="6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0" fillId="0" borderId="0" xfId="0" applyAlignment="1">
      <alignment horizontal="center" vertical="center" wrapText="1"/>
    </xf>
    <xf numFmtId="168" fontId="3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2</xdr:col>
      <xdr:colOff>371475</xdr:colOff>
      <xdr:row>2</xdr:row>
      <xdr:rowOff>180975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1571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3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9FDD211-5504-4BFD-BA51-5009C7E83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1571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2</xdr:col>
      <xdr:colOff>371475</xdr:colOff>
      <xdr:row>2</xdr:row>
      <xdr:rowOff>180975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8D14DF1-4297-40CC-A49D-B953F0DAE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1571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2"/>
  <sheetViews>
    <sheetView topLeftCell="A60" zoomScaleNormal="100" workbookViewId="0">
      <selection activeCell="B14" sqref="B14"/>
    </sheetView>
  </sheetViews>
  <sheetFormatPr defaultRowHeight="14.5" x14ac:dyDescent="0.35"/>
  <cols>
    <col min="1" max="1" width="8.7265625" customWidth="1"/>
    <col min="2" max="2" width="10.7265625" customWidth="1"/>
    <col min="3" max="6" width="8.7265625" customWidth="1"/>
    <col min="7" max="7" width="10.7265625" customWidth="1"/>
    <col min="8" max="11" width="8.7265625" customWidth="1"/>
    <col min="12" max="12" width="10.7265625" customWidth="1"/>
    <col min="13" max="15" width="8.7265625" customWidth="1"/>
    <col min="17" max="17" width="8.7265625" customWidth="1"/>
    <col min="18" max="18" width="10.7265625" customWidth="1"/>
    <col min="19" max="22" width="8.7265625" customWidth="1"/>
    <col min="23" max="23" width="10.7265625" customWidth="1"/>
    <col min="24" max="27" width="8.7265625" customWidth="1"/>
    <col min="28" max="28" width="10.7265625" customWidth="1"/>
    <col min="29" max="31" width="8.7265625" customWidth="1"/>
  </cols>
  <sheetData>
    <row r="1" spans="1:25" x14ac:dyDescent="0.35">
      <c r="B1" s="3"/>
      <c r="C1" s="3"/>
      <c r="D1" s="3"/>
      <c r="E1" s="3"/>
      <c r="F1" s="14" t="s">
        <v>130</v>
      </c>
      <c r="G1" s="3"/>
      <c r="H1" s="3"/>
      <c r="I1" s="3"/>
      <c r="J1" s="3"/>
      <c r="K1" s="3"/>
    </row>
    <row r="2" spans="1:25" x14ac:dyDescent="0.35">
      <c r="B2" s="3"/>
      <c r="C2" s="3"/>
      <c r="D2" s="3"/>
      <c r="E2" s="3"/>
      <c r="F2" s="14" t="s">
        <v>28</v>
      </c>
      <c r="G2" s="3"/>
      <c r="H2" s="3"/>
      <c r="I2" s="3"/>
      <c r="J2" s="3"/>
      <c r="K2" s="3"/>
    </row>
    <row r="3" spans="1:25" x14ac:dyDescent="0.35">
      <c r="C3" s="3"/>
      <c r="D3" s="3"/>
      <c r="E3" s="3"/>
      <c r="F3" s="3"/>
      <c r="G3" s="3"/>
      <c r="H3" s="3"/>
      <c r="I3" s="3"/>
      <c r="J3" s="3"/>
      <c r="K3" s="3"/>
    </row>
    <row r="4" spans="1:25" ht="15" thickBot="1" x14ac:dyDescent="0.4">
      <c r="A4" s="15" t="s">
        <v>0</v>
      </c>
      <c r="B4" s="16"/>
      <c r="C4" s="3"/>
      <c r="D4" s="3"/>
      <c r="E4" s="3"/>
      <c r="F4" s="3"/>
      <c r="G4" s="3"/>
      <c r="H4" s="3"/>
      <c r="I4" s="3"/>
      <c r="J4" s="3"/>
      <c r="K4" s="3"/>
    </row>
    <row r="5" spans="1:25" x14ac:dyDescent="0.35">
      <c r="C5" s="3"/>
      <c r="D5" s="3"/>
      <c r="E5" s="3"/>
      <c r="G5" s="3"/>
      <c r="H5" s="3"/>
      <c r="I5" s="3"/>
      <c r="J5" s="3"/>
      <c r="K5" s="3"/>
    </row>
    <row r="6" spans="1:25" x14ac:dyDescent="0.35">
      <c r="A6" s="3" t="s">
        <v>1</v>
      </c>
      <c r="B6" s="93" t="s">
        <v>40</v>
      </c>
      <c r="C6" s="93"/>
      <c r="D6" s="93"/>
      <c r="E6" s="3"/>
      <c r="F6" s="3"/>
      <c r="G6" s="2" t="s">
        <v>47</v>
      </c>
      <c r="H6" s="6">
        <v>1</v>
      </c>
      <c r="I6" s="2" t="s">
        <v>47</v>
      </c>
      <c r="J6" s="6">
        <v>1</v>
      </c>
      <c r="K6" s="2" t="s">
        <v>47</v>
      </c>
      <c r="L6" s="6">
        <v>2</v>
      </c>
      <c r="R6" t="s">
        <v>41</v>
      </c>
      <c r="T6" s="3" t="s">
        <v>60</v>
      </c>
      <c r="U6" s="3"/>
      <c r="V6" s="3"/>
      <c r="W6" s="3"/>
      <c r="X6" s="3"/>
      <c r="Y6" s="3"/>
    </row>
    <row r="7" spans="1:25" x14ac:dyDescent="0.35">
      <c r="A7" s="2" t="s">
        <v>2</v>
      </c>
      <c r="B7" s="19">
        <f>406.4/25.4</f>
        <v>16</v>
      </c>
      <c r="C7" s="3" t="s">
        <v>115</v>
      </c>
      <c r="D7" s="3"/>
      <c r="E7" s="3"/>
      <c r="F7" s="3"/>
      <c r="G7" s="5" t="s">
        <v>4</v>
      </c>
      <c r="H7" s="3"/>
      <c r="I7" s="5" t="s">
        <v>5</v>
      </c>
      <c r="J7" s="5"/>
      <c r="K7" s="5" t="s">
        <v>4</v>
      </c>
      <c r="T7" s="3"/>
    </row>
    <row r="8" spans="1:25" ht="17.5" x14ac:dyDescent="0.45">
      <c r="A8" s="2" t="s">
        <v>3</v>
      </c>
      <c r="B8" s="55">
        <f>PI()*(B7^4-(B7-2*B15)^4)/64</f>
        <v>560.71304597693711</v>
      </c>
      <c r="C8" s="3" t="s">
        <v>71</v>
      </c>
      <c r="D8" s="3"/>
      <c r="E8" s="3"/>
      <c r="F8" s="5" t="s">
        <v>7</v>
      </c>
      <c r="G8" s="19">
        <v>15.4</v>
      </c>
      <c r="H8" s="3"/>
      <c r="I8" s="19">
        <v>22.4</v>
      </c>
      <c r="J8" s="5"/>
      <c r="K8" s="19">
        <v>50</v>
      </c>
      <c r="R8" s="73" t="s">
        <v>51</v>
      </c>
      <c r="S8" t="s">
        <v>52</v>
      </c>
      <c r="U8" s="9" t="s">
        <v>129</v>
      </c>
      <c r="W8" s="3"/>
      <c r="Y8" s="3"/>
    </row>
    <row r="9" spans="1:25" ht="16.5" x14ac:dyDescent="0.35">
      <c r="A9" s="2" t="s">
        <v>6</v>
      </c>
      <c r="B9" s="55">
        <f>B8/(B7/2)</f>
        <v>70.089130747117139</v>
      </c>
      <c r="C9" s="3" t="s">
        <v>72</v>
      </c>
      <c r="D9" s="3"/>
      <c r="E9" s="3"/>
      <c r="G9" s="3" t="s">
        <v>59</v>
      </c>
      <c r="R9" s="73" t="s">
        <v>42</v>
      </c>
      <c r="S9" t="s">
        <v>53</v>
      </c>
      <c r="V9" s="3"/>
      <c r="W9" s="3"/>
      <c r="Y9" s="3"/>
    </row>
    <row r="10" spans="1:25" ht="16.5" x14ac:dyDescent="0.45">
      <c r="A10" s="2" t="s">
        <v>30</v>
      </c>
      <c r="B10" s="55">
        <f>490.0595*B16/12^2</f>
        <v>62.484667642321241</v>
      </c>
      <c r="C10" s="3" t="s">
        <v>8</v>
      </c>
      <c r="D10" s="3"/>
      <c r="E10" s="3"/>
      <c r="R10" s="73" t="s">
        <v>54</v>
      </c>
      <c r="S10" t="s">
        <v>128</v>
      </c>
      <c r="V10" s="3"/>
      <c r="W10" s="3"/>
      <c r="Y10" s="3"/>
    </row>
    <row r="11" spans="1:25" ht="16.5" x14ac:dyDescent="0.35">
      <c r="A11" s="2" t="s">
        <v>31</v>
      </c>
      <c r="B11" s="56">
        <f>B10/12/386</f>
        <v>1.3489781442642755E-2</v>
      </c>
      <c r="C11" s="3" t="s">
        <v>73</v>
      </c>
      <c r="D11" s="3"/>
      <c r="E11" s="3"/>
      <c r="F11" s="1" t="s">
        <v>36</v>
      </c>
      <c r="G11" s="19">
        <v>20</v>
      </c>
      <c r="H11" s="6" t="s">
        <v>18</v>
      </c>
      <c r="I11" s="3"/>
      <c r="J11" s="1" t="s">
        <v>38</v>
      </c>
      <c r="K11" s="19">
        <v>63</v>
      </c>
      <c r="L11" s="6" t="s">
        <v>18</v>
      </c>
      <c r="R11" s="73" t="s">
        <v>32</v>
      </c>
      <c r="S11" t="s">
        <v>43</v>
      </c>
    </row>
    <row r="12" spans="1:25" ht="16.5" x14ac:dyDescent="0.35">
      <c r="A12" s="2" t="s">
        <v>10</v>
      </c>
      <c r="B12" s="57">
        <v>29000000</v>
      </c>
      <c r="C12" s="3" t="s">
        <v>74</v>
      </c>
      <c r="D12" s="3"/>
      <c r="E12" s="3"/>
      <c r="F12" s="2" t="s">
        <v>37</v>
      </c>
      <c r="G12" s="63">
        <f>0.6*G11^2</f>
        <v>240</v>
      </c>
      <c r="H12" s="6" t="s">
        <v>119</v>
      </c>
      <c r="I12" s="3"/>
      <c r="J12" s="2" t="s">
        <v>37</v>
      </c>
      <c r="K12" s="63">
        <f>0.6*K11^2</f>
        <v>2381.4</v>
      </c>
      <c r="L12" s="6" t="s">
        <v>119</v>
      </c>
      <c r="R12" s="73"/>
      <c r="V12" s="3"/>
      <c r="W12" s="3"/>
      <c r="Y12" s="3"/>
    </row>
    <row r="13" spans="1:25" x14ac:dyDescent="0.35">
      <c r="A13" s="2"/>
      <c r="B13" s="58"/>
      <c r="C13" s="3"/>
      <c r="D13" s="3"/>
      <c r="H13" s="3"/>
      <c r="I13" s="3"/>
      <c r="R13" s="73" t="s">
        <v>44</v>
      </c>
      <c r="S13" s="10">
        <f>1842/2*224.8089431</f>
        <v>207049.03659509998</v>
      </c>
      <c r="T13" t="s">
        <v>134</v>
      </c>
      <c r="V13" s="3"/>
      <c r="W13" s="3"/>
      <c r="Y13" s="3"/>
    </row>
    <row r="14" spans="1:25" x14ac:dyDescent="0.35">
      <c r="A14" s="2" t="s">
        <v>11</v>
      </c>
      <c r="B14" s="59">
        <f>14454/25.4</f>
        <v>569.05511811023621</v>
      </c>
      <c r="C14" s="3" t="s">
        <v>113</v>
      </c>
      <c r="D14" s="3"/>
      <c r="I14" s="3"/>
      <c r="J14" s="3"/>
      <c r="K14" s="3"/>
      <c r="R14" s="73" t="s">
        <v>42</v>
      </c>
      <c r="S14" s="43">
        <f>S13*B14^2/(B12*B8*PI()^2)</f>
        <v>0.4177759904097792</v>
      </c>
    </row>
    <row r="15" spans="1:25" x14ac:dyDescent="0.35">
      <c r="A15" s="2" t="s">
        <v>27</v>
      </c>
      <c r="B15" s="60">
        <f>9.5/25.4</f>
        <v>0.37401574803149606</v>
      </c>
      <c r="C15" s="3" t="s">
        <v>114</v>
      </c>
      <c r="D15" s="3"/>
      <c r="K15" s="3"/>
      <c r="U15" s="3"/>
      <c r="V15" s="3"/>
      <c r="W15" s="3"/>
      <c r="Y15" s="3"/>
    </row>
    <row r="16" spans="1:25" ht="16.5" x14ac:dyDescent="0.35">
      <c r="A16" s="2" t="s">
        <v>7</v>
      </c>
      <c r="B16" s="61">
        <f>PI()*(B7^2-(B7-2*B15)^2)/4</f>
        <v>18.360611600212341</v>
      </c>
      <c r="C16" s="3" t="s">
        <v>75</v>
      </c>
      <c r="D16" s="3"/>
      <c r="K16" s="3"/>
      <c r="R16" s="73" t="s">
        <v>44</v>
      </c>
      <c r="S16" s="10">
        <f>3500/2*224.8089431</f>
        <v>393415.650425</v>
      </c>
      <c r="T16" t="s">
        <v>45</v>
      </c>
      <c r="U16" s="3"/>
      <c r="V16" s="3"/>
      <c r="W16" s="3"/>
      <c r="Y16" s="3"/>
    </row>
    <row r="17" spans="1:25" x14ac:dyDescent="0.35">
      <c r="B17" s="11"/>
      <c r="R17" s="73" t="s">
        <v>42</v>
      </c>
      <c r="S17" s="43">
        <f>S16*B14^2/(B12*B8*PI()^2)</f>
        <v>0.79381974290674673</v>
      </c>
    </row>
    <row r="18" spans="1:25" x14ac:dyDescent="0.35">
      <c r="A18" s="2" t="s">
        <v>112</v>
      </c>
      <c r="B18" s="19">
        <v>0.01</v>
      </c>
      <c r="C18" t="s">
        <v>133</v>
      </c>
      <c r="F18" s="3" t="s">
        <v>82</v>
      </c>
      <c r="R18" s="73"/>
      <c r="U18" s="3"/>
    </row>
    <row r="19" spans="1:25" x14ac:dyDescent="0.35">
      <c r="A19" s="54" t="s">
        <v>104</v>
      </c>
      <c r="B19" s="49">
        <f>B14*25.4/1000</f>
        <v>14.453999999999999</v>
      </c>
      <c r="C19" s="6" t="s">
        <v>109</v>
      </c>
      <c r="E19" s="48"/>
      <c r="R19" s="73" t="s">
        <v>44</v>
      </c>
      <c r="S19" s="10">
        <f>(3500+1390)/2*224.8089431</f>
        <v>549657.86587949994</v>
      </c>
      <c r="T19" t="s">
        <v>48</v>
      </c>
      <c r="U19" s="3"/>
    </row>
    <row r="20" spans="1:25" x14ac:dyDescent="0.35">
      <c r="A20" s="47"/>
      <c r="B20" s="3"/>
      <c r="E20" s="48"/>
      <c r="R20" s="73" t="s">
        <v>42</v>
      </c>
      <c r="S20" s="43">
        <f>S19*B14^2/(B12*B8*PI()^2)</f>
        <v>1.1090795836611402</v>
      </c>
      <c r="U20" s="3"/>
    </row>
    <row r="21" spans="1:25" x14ac:dyDescent="0.35">
      <c r="A21" s="2" t="s">
        <v>34</v>
      </c>
      <c r="B21" s="3" t="s">
        <v>110</v>
      </c>
      <c r="C21" s="3" t="s">
        <v>111</v>
      </c>
      <c r="E21" s="48"/>
      <c r="S21" s="43"/>
      <c r="U21" s="3"/>
    </row>
    <row r="22" spans="1:25" x14ac:dyDescent="0.35">
      <c r="A22" s="47"/>
      <c r="B22" s="3"/>
      <c r="E22" s="48"/>
      <c r="S22" s="43"/>
      <c r="U22" s="3"/>
    </row>
    <row r="23" spans="1:25" ht="15" thickBot="1" x14ac:dyDescent="0.4">
      <c r="A23" s="15" t="s">
        <v>12</v>
      </c>
      <c r="B23" s="16"/>
      <c r="C23" s="3"/>
      <c r="D23" s="3"/>
      <c r="L23" s="3"/>
      <c r="M23" s="3"/>
      <c r="N23" s="3"/>
      <c r="O23" s="3"/>
    </row>
    <row r="24" spans="1:25" x14ac:dyDescent="0.35">
      <c r="I24" s="3"/>
      <c r="J24" s="3"/>
      <c r="K24" s="3"/>
      <c r="L24" s="3"/>
      <c r="M24" s="3"/>
      <c r="N24" s="3"/>
      <c r="O24" s="3"/>
    </row>
    <row r="25" spans="1:25" ht="17.5" x14ac:dyDescent="0.45">
      <c r="B25" s="11" t="s">
        <v>55</v>
      </c>
      <c r="C25" t="s">
        <v>67</v>
      </c>
      <c r="D25" s="3"/>
      <c r="E25" s="3" t="s">
        <v>116</v>
      </c>
      <c r="H25" s="3" t="s">
        <v>59</v>
      </c>
      <c r="M25" s="3"/>
      <c r="N25" s="3"/>
      <c r="W25" s="91" t="s">
        <v>122</v>
      </c>
    </row>
    <row r="27" spans="1:25" ht="16.5" x14ac:dyDescent="0.35">
      <c r="A27" t="s">
        <v>57</v>
      </c>
      <c r="B27" s="11" t="s">
        <v>58</v>
      </c>
      <c r="C27" t="s">
        <v>66</v>
      </c>
      <c r="U27" s="3"/>
      <c r="W27" s="73" t="s">
        <v>121</v>
      </c>
      <c r="X27" s="11">
        <f>K11</f>
        <v>63</v>
      </c>
      <c r="Y27" s="83" t="str">
        <f>L11</f>
        <v>m/s</v>
      </c>
    </row>
    <row r="28" spans="1:25" ht="17.5" x14ac:dyDescent="0.35">
      <c r="B28" s="5" t="s">
        <v>3</v>
      </c>
      <c r="C28" t="s">
        <v>64</v>
      </c>
      <c r="E28" s="14"/>
      <c r="F28" s="14"/>
      <c r="G28" s="14"/>
      <c r="H28" s="3"/>
      <c r="U28" s="77" t="s">
        <v>125</v>
      </c>
      <c r="V28" s="76" t="s">
        <v>123</v>
      </c>
      <c r="W28" s="94" t="s">
        <v>136</v>
      </c>
      <c r="X28" s="94"/>
      <c r="Y28" s="76" t="s">
        <v>124</v>
      </c>
    </row>
    <row r="29" spans="1:25" x14ac:dyDescent="0.35">
      <c r="B29" s="11" t="s">
        <v>11</v>
      </c>
      <c r="C29" t="s">
        <v>63</v>
      </c>
      <c r="G29" s="3"/>
      <c r="N29" s="3"/>
      <c r="V29" s="11" t="str">
        <f>IF(V31&gt;0.75,"Yes","No")</f>
        <v>Yes</v>
      </c>
      <c r="W29" s="11" t="str">
        <f>IF(AND(W31&gt;0.5,V31&lt;0.75),"Yes","No")</f>
        <v>No</v>
      </c>
      <c r="Y29" s="11" t="str">
        <f>IF(Y31&lt;0.5,"Yes","No")</f>
        <v>No</v>
      </c>
    </row>
    <row r="30" spans="1:25" ht="17.5" x14ac:dyDescent="0.45">
      <c r="B30" s="5" t="s">
        <v>31</v>
      </c>
      <c r="C30" s="3" t="s">
        <v>65</v>
      </c>
      <c r="U30" s="73" t="s">
        <v>55</v>
      </c>
      <c r="V30" s="74">
        <f>V32/(5*$B$7*25.4/1000)</f>
        <v>31.003937007874015</v>
      </c>
      <c r="W30" s="74">
        <f>(W32-1.5/($B$7*25.4/1000))/(3*$B$7*25.4/1000)</f>
        <v>48.645878541757092</v>
      </c>
      <c r="Y30" s="74">
        <f>Y32/(6*($B$7*25.4/1000))</f>
        <v>25.836614173228352</v>
      </c>
    </row>
    <row r="31" spans="1:25" ht="17.5" x14ac:dyDescent="0.45">
      <c r="B31" s="11" t="s">
        <v>61</v>
      </c>
      <c r="C31" t="s">
        <v>62</v>
      </c>
      <c r="U31" s="2" t="s">
        <v>68</v>
      </c>
      <c r="V31" s="48">
        <f>V30*($B$7*25.4/1000)^2</f>
        <v>5.1206399999999999</v>
      </c>
      <c r="W31" s="48">
        <f>W30*($B$7*25.4/1000)^2</f>
        <v>8.0344000000000015</v>
      </c>
      <c r="Y31" s="48">
        <f>Y30*($B$7*25.4/1000)^2</f>
        <v>4.2672000000000008</v>
      </c>
    </row>
    <row r="32" spans="1:25" ht="16.5" x14ac:dyDescent="0.45">
      <c r="U32" s="2" t="s">
        <v>70</v>
      </c>
      <c r="V32" s="48">
        <f>X27</f>
        <v>63</v>
      </c>
      <c r="W32" s="48">
        <f>X27</f>
        <v>63</v>
      </c>
      <c r="Y32" s="48">
        <f>X27</f>
        <v>63</v>
      </c>
    </row>
    <row r="33" spans="1:25" ht="16.5" x14ac:dyDescent="0.45">
      <c r="B33" s="11" t="s">
        <v>78</v>
      </c>
      <c r="C33" s="3" t="s">
        <v>79</v>
      </c>
      <c r="E33" s="3" t="s">
        <v>91</v>
      </c>
      <c r="H33" s="3" t="s">
        <v>76</v>
      </c>
    </row>
    <row r="34" spans="1:25" ht="18.75" customHeight="1" x14ac:dyDescent="0.35">
      <c r="W34" s="2" t="s">
        <v>120</v>
      </c>
      <c r="X34" s="5">
        <f>G11</f>
        <v>20</v>
      </c>
      <c r="Y34" s="3" t="str">
        <f>H11</f>
        <v>m/s</v>
      </c>
    </row>
    <row r="35" spans="1:25" ht="16.5" x14ac:dyDescent="0.35">
      <c r="A35" s="2" t="s">
        <v>13</v>
      </c>
      <c r="B35" s="11" t="s">
        <v>6</v>
      </c>
      <c r="C35" s="3" t="s">
        <v>56</v>
      </c>
      <c r="E35" s="3" t="s">
        <v>77</v>
      </c>
      <c r="U35" s="75" t="s">
        <v>125</v>
      </c>
      <c r="V35" s="76" t="s">
        <v>123</v>
      </c>
      <c r="W35" s="94" t="s">
        <v>136</v>
      </c>
      <c r="X35" s="94"/>
      <c r="Y35" s="76" t="s">
        <v>124</v>
      </c>
    </row>
    <row r="36" spans="1:25" x14ac:dyDescent="0.35">
      <c r="B36" s="11" t="s">
        <v>2</v>
      </c>
      <c r="C36" s="3" t="s">
        <v>92</v>
      </c>
      <c r="V36" s="11" t="str">
        <f>IF(V38&gt;0.75,"Yes","No")</f>
        <v>Yes</v>
      </c>
      <c r="W36" s="11" t="str">
        <f>IF(AND(W38&gt;0.5,V38&lt;0.75),"Yes","No")</f>
        <v>No</v>
      </c>
      <c r="Y36" s="11" t="str">
        <f>IF(Y38&lt;0.5,"Yes","No")</f>
        <v>No</v>
      </c>
    </row>
    <row r="37" spans="1:25" ht="16.5" x14ac:dyDescent="0.45">
      <c r="B37" s="11" t="s">
        <v>55</v>
      </c>
      <c r="C37" s="3" t="s">
        <v>93</v>
      </c>
      <c r="U37" s="73" t="s">
        <v>55</v>
      </c>
      <c r="V37" s="74">
        <f>V39/(5*$B$7*25.4/1000)</f>
        <v>9.8425196850393704</v>
      </c>
      <c r="W37" s="74">
        <f>(W39-1.5/($B$7*25.4/1000))/(3*$B$7*25.4/1000)</f>
        <v>13.37684967036601</v>
      </c>
      <c r="Y37" s="74">
        <f>Y39/(6*($B$7*25.4/1000))</f>
        <v>8.2020997375328086</v>
      </c>
    </row>
    <row r="38" spans="1:25" ht="17.5" x14ac:dyDescent="0.45">
      <c r="U38" s="2" t="s">
        <v>68</v>
      </c>
      <c r="V38" s="48">
        <f>V37*($B$7*25.4/1000)^2</f>
        <v>1.6255999999999999</v>
      </c>
      <c r="W38" s="48">
        <f>W37*($B$7*25.4/1000)^2</f>
        <v>2.2093333333333338</v>
      </c>
      <c r="Y38" s="48">
        <f>Y37*($B$7*25.4/1000)^2</f>
        <v>1.3546666666666667</v>
      </c>
    </row>
    <row r="39" spans="1:25" ht="17.5" x14ac:dyDescent="0.45">
      <c r="B39" s="11" t="s">
        <v>80</v>
      </c>
      <c r="C39" s="3" t="s">
        <v>81</v>
      </c>
      <c r="G39" t="s">
        <v>117</v>
      </c>
      <c r="U39" s="2" t="s">
        <v>70</v>
      </c>
      <c r="V39" s="48">
        <f>X34</f>
        <v>20</v>
      </c>
      <c r="W39" s="48">
        <f>X34</f>
        <v>20</v>
      </c>
      <c r="Y39" s="48">
        <f>X34</f>
        <v>20</v>
      </c>
    </row>
    <row r="40" spans="1:25" x14ac:dyDescent="0.35">
      <c r="H40" s="3" t="s">
        <v>90</v>
      </c>
    </row>
    <row r="42" spans="1:25" ht="16.5" x14ac:dyDescent="0.45">
      <c r="A42" s="2" t="s">
        <v>13</v>
      </c>
      <c r="B42" s="11" t="s">
        <v>88</v>
      </c>
      <c r="C42" s="3" t="s">
        <v>89</v>
      </c>
    </row>
    <row r="43" spans="1:25" x14ac:dyDescent="0.35">
      <c r="B43" s="47" t="s">
        <v>83</v>
      </c>
      <c r="C43" t="s">
        <v>94</v>
      </c>
      <c r="E43" s="11" t="s">
        <v>9</v>
      </c>
      <c r="F43" s="48">
        <f>B19/(B7*25.4/1000)</f>
        <v>35.565944881889763</v>
      </c>
    </row>
    <row r="44" spans="1:25" ht="17.5" x14ac:dyDescent="0.45">
      <c r="B44" s="47" t="s">
        <v>84</v>
      </c>
      <c r="C44" s="3" t="s">
        <v>95</v>
      </c>
      <c r="I44" s="6" t="s">
        <v>118</v>
      </c>
    </row>
    <row r="45" spans="1:25" ht="16.5" x14ac:dyDescent="0.45">
      <c r="B45" s="47" t="s">
        <v>87</v>
      </c>
      <c r="C45" t="s">
        <v>96</v>
      </c>
    </row>
    <row r="46" spans="1:25" ht="16.5" x14ac:dyDescent="0.35">
      <c r="B46" s="47" t="s">
        <v>85</v>
      </c>
      <c r="C46" s="3" t="s">
        <v>97</v>
      </c>
      <c r="D46" s="3"/>
      <c r="E46" s="62">
        <v>1.2</v>
      </c>
      <c r="F46" t="s">
        <v>98</v>
      </c>
    </row>
    <row r="47" spans="1:25" x14ac:dyDescent="0.35">
      <c r="B47" s="47" t="s">
        <v>2</v>
      </c>
      <c r="C47" t="s">
        <v>99</v>
      </c>
    </row>
    <row r="48" spans="1:25" x14ac:dyDescent="0.35">
      <c r="B48" s="47" t="s">
        <v>39</v>
      </c>
      <c r="C48" s="3" t="s">
        <v>100</v>
      </c>
    </row>
    <row r="49" spans="1:31" ht="17.5" x14ac:dyDescent="0.45">
      <c r="B49" s="47" t="s">
        <v>86</v>
      </c>
      <c r="C49" t="s">
        <v>102</v>
      </c>
      <c r="I49" s="11" t="s">
        <v>103</v>
      </c>
      <c r="J49" t="s">
        <v>101</v>
      </c>
    </row>
    <row r="50" spans="1:31" x14ac:dyDescent="0.35">
      <c r="B50" s="47"/>
    </row>
    <row r="51" spans="1:31" x14ac:dyDescent="0.35">
      <c r="A51" s="3" t="s">
        <v>46</v>
      </c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Q51" s="3"/>
      <c r="R51" s="3"/>
      <c r="AD51" s="3"/>
      <c r="AE51" s="3"/>
    </row>
    <row r="52" spans="1:31" x14ac:dyDescent="0.35">
      <c r="A52" s="26"/>
      <c r="B52" s="27"/>
      <c r="C52" s="44" t="str">
        <f>G6</f>
        <v>Mode</v>
      </c>
      <c r="D52" s="45">
        <f>H6</f>
        <v>1</v>
      </c>
      <c r="E52" s="17"/>
      <c r="F52" s="26"/>
      <c r="G52" s="17"/>
      <c r="H52" s="44" t="str">
        <f>I6</f>
        <v>Mode</v>
      </c>
      <c r="I52" s="45">
        <f>J6</f>
        <v>1</v>
      </c>
      <c r="J52" s="17"/>
      <c r="K52" s="26"/>
      <c r="L52" s="17"/>
      <c r="M52" s="44" t="str">
        <f>K6</f>
        <v>Mode</v>
      </c>
      <c r="N52" s="45">
        <f>L6</f>
        <v>2</v>
      </c>
      <c r="O52" s="18"/>
      <c r="Q52" t="s">
        <v>50</v>
      </c>
    </row>
    <row r="53" spans="1:31" x14ac:dyDescent="0.35">
      <c r="A53" s="29"/>
      <c r="B53" s="30"/>
      <c r="C53" s="31" t="s">
        <v>4</v>
      </c>
      <c r="D53" s="23"/>
      <c r="E53" s="23"/>
      <c r="F53" s="29"/>
      <c r="G53" s="23"/>
      <c r="H53" s="31" t="s">
        <v>5</v>
      </c>
      <c r="I53" s="23"/>
      <c r="J53" s="23"/>
      <c r="K53" s="29"/>
      <c r="L53" s="23"/>
      <c r="M53" s="31" t="s">
        <v>4</v>
      </c>
      <c r="N53" s="23"/>
      <c r="O53" s="24"/>
      <c r="Q53" s="26"/>
      <c r="R53" s="27"/>
      <c r="S53" s="44" t="str">
        <f>C52</f>
        <v>Mode</v>
      </c>
      <c r="T53" s="45">
        <f>D52</f>
        <v>1</v>
      </c>
      <c r="U53" s="17"/>
      <c r="V53" s="26"/>
      <c r="W53" s="17"/>
      <c r="X53" s="44" t="str">
        <f>H52</f>
        <v>Mode</v>
      </c>
      <c r="Y53" s="45">
        <f>I52</f>
        <v>1</v>
      </c>
      <c r="Z53" s="17"/>
      <c r="AA53" s="26"/>
      <c r="AB53" s="17"/>
      <c r="AC53" s="44" t="str">
        <f>M52</f>
        <v>Mode</v>
      </c>
      <c r="AD53" s="45">
        <f>N52</f>
        <v>2</v>
      </c>
      <c r="AE53" s="18"/>
    </row>
    <row r="54" spans="1:31" ht="15" thickBot="1" x14ac:dyDescent="0.4">
      <c r="A54" s="28"/>
      <c r="B54" s="2" t="s">
        <v>15</v>
      </c>
      <c r="C54" s="3" t="s">
        <v>15</v>
      </c>
      <c r="D54" s="3"/>
      <c r="E54" s="3"/>
      <c r="F54" s="28" t="s">
        <v>15</v>
      </c>
      <c r="G54" s="3"/>
      <c r="H54" s="3"/>
      <c r="I54" s="3"/>
      <c r="J54" s="3"/>
      <c r="K54" s="26"/>
      <c r="L54" s="17"/>
      <c r="M54" s="17"/>
      <c r="N54" s="17"/>
      <c r="O54" s="18"/>
      <c r="Q54" s="29"/>
      <c r="R54" s="30"/>
      <c r="S54" s="31" t="s">
        <v>4</v>
      </c>
      <c r="T54" s="23"/>
      <c r="U54" s="23"/>
      <c r="V54" s="29"/>
      <c r="W54" s="23"/>
      <c r="X54" s="31" t="s">
        <v>5</v>
      </c>
      <c r="Y54" s="23"/>
      <c r="Z54" s="23"/>
      <c r="AA54" s="29"/>
      <c r="AB54" s="23"/>
      <c r="AC54" s="31" t="s">
        <v>4</v>
      </c>
      <c r="AD54" s="23"/>
      <c r="AE54" s="24"/>
    </row>
    <row r="55" spans="1:31" ht="17.5" thickTop="1" thickBot="1" x14ac:dyDescent="0.5">
      <c r="A55" s="28"/>
      <c r="B55" s="12" t="s">
        <v>55</v>
      </c>
      <c r="C55" s="39">
        <f>$G$8*SQRT($B$12*$B$8/($B$11*$B$14^4))</f>
        <v>52.213033519460588</v>
      </c>
      <c r="D55" s="40" t="s">
        <v>14</v>
      </c>
      <c r="E55" s="3"/>
      <c r="F55" s="28"/>
      <c r="G55" s="12" t="s">
        <v>55</v>
      </c>
      <c r="H55" s="39">
        <f>$I$8*SQRT($B$12*$B$8/($B$11*$B$14^4))</f>
        <v>75.946230573760843</v>
      </c>
      <c r="I55" s="40" t="s">
        <v>14</v>
      </c>
      <c r="J55" s="3"/>
      <c r="K55" s="28"/>
      <c r="L55" s="12" t="s">
        <v>55</v>
      </c>
      <c r="M55" s="39">
        <f>$K$8*SQRT($B$12*$B$8/($B$11*$B$14^4))</f>
        <v>169.52283610214477</v>
      </c>
      <c r="N55" s="40" t="s">
        <v>14</v>
      </c>
      <c r="O55" s="20"/>
      <c r="Q55" s="26"/>
      <c r="R55" s="27"/>
      <c r="S55" s="32"/>
      <c r="T55" s="17"/>
      <c r="U55" s="18"/>
      <c r="V55" s="3"/>
      <c r="W55" s="3"/>
      <c r="X55" s="22"/>
      <c r="Y55" s="3"/>
      <c r="Z55" s="3"/>
      <c r="AA55" s="26"/>
      <c r="AB55" s="17"/>
      <c r="AC55" s="32"/>
      <c r="AD55" s="17"/>
      <c r="AE55" s="18"/>
    </row>
    <row r="56" spans="1:31" ht="17.5" thickTop="1" thickBot="1" x14ac:dyDescent="0.5">
      <c r="A56" s="28"/>
      <c r="B56" s="13" t="s">
        <v>55</v>
      </c>
      <c r="C56" s="41">
        <f>C55/(2*3.14159)</f>
        <v>8.3099693975758431</v>
      </c>
      <c r="D56" s="42" t="s">
        <v>16</v>
      </c>
      <c r="E56" s="3"/>
      <c r="F56" s="28"/>
      <c r="G56" s="13" t="s">
        <v>55</v>
      </c>
      <c r="H56" s="41">
        <f>H55/(2*3.14159)</f>
        <v>12.08722821465577</v>
      </c>
      <c r="I56" s="42" t="s">
        <v>16</v>
      </c>
      <c r="J56" s="3"/>
      <c r="K56" s="28"/>
      <c r="L56" s="13" t="s">
        <v>55</v>
      </c>
      <c r="M56" s="41">
        <f>M55/(2*3.14159)</f>
        <v>26.980420121999494</v>
      </c>
      <c r="N56" s="42" t="s">
        <v>16</v>
      </c>
      <c r="O56" s="20"/>
      <c r="Q56" s="28"/>
      <c r="R56" s="46" t="s">
        <v>51</v>
      </c>
      <c r="S56" s="33">
        <f>IF(S16&gt;0,C56*(1+S17^2/T53^2)^0.5,C56*(1-S17^2/T53^2)^0.5)</f>
        <v>10.60994615452768</v>
      </c>
      <c r="T56" s="34" t="s">
        <v>16</v>
      </c>
      <c r="U56" s="20"/>
      <c r="V56" s="3"/>
      <c r="W56" s="46" t="s">
        <v>51</v>
      </c>
      <c r="X56" s="33">
        <f>IF(S16&gt;0,H56*(1+S17^2/Y53^2)^0.5,H56*(1-S17^2/Y53^2)^0.5)</f>
        <v>15.43264895204026</v>
      </c>
      <c r="Y56" s="34" t="s">
        <v>16</v>
      </c>
      <c r="Z56" s="3"/>
      <c r="AA56" s="28"/>
      <c r="AB56" s="46" t="s">
        <v>51</v>
      </c>
      <c r="AC56" s="33">
        <f>IF(S16&gt;0,M56*(1+S17^2/AD53^2)^0.5,M56*(1-S17^2/AD53^2)^0.5)</f>
        <v>29.027941058160135</v>
      </c>
      <c r="AD56" s="34" t="s">
        <v>16</v>
      </c>
      <c r="AE56" s="20"/>
    </row>
    <row r="57" spans="1:31" ht="15" thickTop="1" x14ac:dyDescent="0.35">
      <c r="A57" s="28"/>
      <c r="B57" s="2"/>
      <c r="C57" s="4"/>
      <c r="D57" s="3"/>
      <c r="E57" s="3"/>
      <c r="F57" s="28"/>
      <c r="G57" s="3"/>
      <c r="H57" s="3"/>
      <c r="I57" s="3"/>
      <c r="J57" s="3"/>
      <c r="K57" s="28"/>
      <c r="L57" s="3"/>
      <c r="M57" s="3"/>
      <c r="N57" s="3"/>
      <c r="O57" s="20"/>
      <c r="Q57" s="28"/>
      <c r="R57" s="2"/>
      <c r="S57" s="4"/>
      <c r="T57" s="3"/>
      <c r="U57" s="20"/>
      <c r="V57" s="3"/>
      <c r="W57" s="3"/>
      <c r="X57" s="3"/>
      <c r="Y57" s="3"/>
      <c r="Z57" s="3"/>
      <c r="AA57" s="28"/>
      <c r="AB57" s="3"/>
      <c r="AC57" s="3"/>
      <c r="AD57" s="3"/>
      <c r="AE57" s="20"/>
    </row>
    <row r="58" spans="1:31" ht="18" thickBot="1" x14ac:dyDescent="0.5">
      <c r="A58" s="28"/>
      <c r="B58" s="2" t="s">
        <v>68</v>
      </c>
      <c r="C58" s="25">
        <f>C56*($B$7*25.4/1000)^2</f>
        <v>1.3724825232742479</v>
      </c>
      <c r="D58" s="3" t="s">
        <v>17</v>
      </c>
      <c r="E58" s="3"/>
      <c r="F58" s="28"/>
      <c r="G58" s="2" t="s">
        <v>68</v>
      </c>
      <c r="H58" s="25">
        <f>H56*($B$7*25.4/1000)^2</f>
        <v>1.9963382156716329</v>
      </c>
      <c r="I58" s="3" t="s">
        <v>17</v>
      </c>
      <c r="J58" s="3"/>
      <c r="K58" s="28"/>
      <c r="L58" s="2" t="s">
        <v>68</v>
      </c>
      <c r="M58" s="25">
        <f>M56*($B$7*25.4/1000)^2</f>
        <v>4.4561120885527536</v>
      </c>
      <c r="N58" s="3" t="s">
        <v>17</v>
      </c>
      <c r="O58" s="20"/>
      <c r="Q58" s="28"/>
      <c r="R58" s="2" t="s">
        <v>69</v>
      </c>
      <c r="S58" s="25">
        <f>S56*($B$7*25.4/1000)^2</f>
        <v>1.7523488924301001</v>
      </c>
      <c r="T58" s="3" t="s">
        <v>17</v>
      </c>
      <c r="U58" s="20"/>
      <c r="V58" s="3"/>
      <c r="W58" s="2" t="s">
        <v>69</v>
      </c>
      <c r="X58" s="25">
        <f>X56*($B$7*25.4/1000)^2</f>
        <v>2.5488711162619633</v>
      </c>
      <c r="Y58" s="3" t="s">
        <v>17</v>
      </c>
      <c r="Z58" s="3"/>
      <c r="AA58" s="28"/>
      <c r="AB58" s="2" t="s">
        <v>69</v>
      </c>
      <c r="AC58" s="25">
        <f>AC56*($B$7*25.4/1000)^2</f>
        <v>4.7942826119891437</v>
      </c>
      <c r="AD58" s="3" t="s">
        <v>17</v>
      </c>
      <c r="AE58" s="20"/>
    </row>
    <row r="59" spans="1:31" ht="17.5" thickTop="1" thickBot="1" x14ac:dyDescent="0.5">
      <c r="A59" s="28"/>
      <c r="B59" s="35" t="s">
        <v>70</v>
      </c>
      <c r="C59" s="36">
        <f>IF(C58&gt;0.5,IF(C58&gt;0.75,5*C56*$B$7*25.4/1000,3*C56*$B$7*25.4/1000+1.5/($B$7*25.4/1000)),6*C56*($B$7*25.4/1000))</f>
        <v>16.885857815874111</v>
      </c>
      <c r="D59" s="37" t="s">
        <v>18</v>
      </c>
      <c r="E59" s="22" t="str">
        <f>IF(C59&gt;K11, "OK","Bad")</f>
        <v>Bad</v>
      </c>
      <c r="F59" s="28"/>
      <c r="G59" s="35" t="s">
        <v>70</v>
      </c>
      <c r="H59" s="36">
        <f>IF(H58&gt;0.5,IF(H58&gt;0.75,5*H56*$B$7*25.4/1000,3*H56*$B$7*25.4/1000+1.5/($B$7*25.4/1000)),6*H56*($B$7*25.4/1000))</f>
        <v>24.561247732180522</v>
      </c>
      <c r="I59" s="37" t="s">
        <v>18</v>
      </c>
      <c r="J59" s="22" t="str">
        <f>IF(H59&gt;K11, "OK","Bad")</f>
        <v>Bad</v>
      </c>
      <c r="K59" s="28"/>
      <c r="L59" s="35" t="s">
        <v>70</v>
      </c>
      <c r="M59" s="36">
        <f>IF(M58&gt;0.5,IF(M58&gt;0.75,5*M56*$B$7*25.4/1000,3*M56*$B$7*25.4/1000+1.5/($B$7*25.4/1000)),6*M56*($B$7*25.4/1000))</f>
        <v>54.824213687902962</v>
      </c>
      <c r="N59" s="37" t="s">
        <v>18</v>
      </c>
      <c r="O59" s="38" t="str">
        <f>IF(M59&gt;K11, "OK","Bad")</f>
        <v>Bad</v>
      </c>
      <c r="Q59" s="28"/>
      <c r="R59" s="35" t="s">
        <v>70</v>
      </c>
      <c r="S59" s="36">
        <f>IF(S58&gt;0.5,IF(S58&gt;0.75,5*S56*$B$7*25.4/1000,3*S56*$B$7*25.4/1000+1.5/($B$7*25.4/1000)),6*S56*($B$7*25.4/1000))</f>
        <v>21.559410586000247</v>
      </c>
      <c r="T59" s="37" t="s">
        <v>18</v>
      </c>
      <c r="U59" s="38" t="str">
        <f>IF(S59&gt;G11, "OK","Bad")</f>
        <v>OK</v>
      </c>
      <c r="V59" s="3"/>
      <c r="W59" s="35" t="s">
        <v>70</v>
      </c>
      <c r="X59" s="36">
        <f>IF(X58&gt;0.5,IF(X58&gt;0.75,5*X56*$B$7*25.4/1000,3*X56*$B$7*25.4/1000+1.5/($B$7*25.4/1000)),6*X56*($B$7*25.4/1000))</f>
        <v>31.359142670545811</v>
      </c>
      <c r="Y59" s="37" t="s">
        <v>18</v>
      </c>
      <c r="Z59" s="22" t="str">
        <f>IF(X59&gt;G11, "OK","Bad")</f>
        <v>OK</v>
      </c>
      <c r="AA59" s="28"/>
      <c r="AB59" s="35" t="s">
        <v>70</v>
      </c>
      <c r="AC59" s="36">
        <f>IF(AC58&gt;0.5,IF(AC58&gt;0.75,5*AC56*$B$7*25.4/1000,3*AC56*$B$7*25.4/1000+1.5/($B$7*25.4/1000)),6*AC56*($B$7*25.4/1000))</f>
        <v>58.984776230181389</v>
      </c>
      <c r="AD59" s="37" t="s">
        <v>18</v>
      </c>
      <c r="AE59" s="38" t="str">
        <f>IF(AC59&gt;G11, "OK","Bad")</f>
        <v>OK</v>
      </c>
    </row>
    <row r="60" spans="1:31" ht="15" thickTop="1" x14ac:dyDescent="0.35">
      <c r="A60" s="28"/>
      <c r="B60" s="3"/>
      <c r="C60" s="3"/>
      <c r="D60" s="3"/>
      <c r="E60" s="3"/>
      <c r="F60" s="28"/>
      <c r="G60" s="3"/>
      <c r="H60" s="3"/>
      <c r="I60" s="3"/>
      <c r="J60" s="3"/>
      <c r="K60" s="28"/>
      <c r="L60" s="3"/>
      <c r="M60" s="3"/>
      <c r="N60" s="3"/>
      <c r="O60" s="20"/>
      <c r="Q60" s="28"/>
      <c r="R60" s="3"/>
      <c r="S60" s="3"/>
      <c r="T60" s="3"/>
      <c r="U60" s="20"/>
      <c r="V60" s="3"/>
      <c r="W60" s="3"/>
      <c r="X60" s="3"/>
      <c r="Y60" s="3"/>
      <c r="Z60" s="3"/>
      <c r="AA60" s="28"/>
      <c r="AB60" s="3"/>
      <c r="AC60" s="3"/>
      <c r="AD60" s="3"/>
      <c r="AE60" s="20"/>
    </row>
    <row r="61" spans="1:31" ht="16.5" x14ac:dyDescent="0.45">
      <c r="A61" s="28"/>
      <c r="B61" s="2" t="s">
        <v>105</v>
      </c>
      <c r="C61" s="4">
        <f>0.6*C59^2</f>
        <v>171.07931650675008</v>
      </c>
      <c r="D61" s="3" t="s">
        <v>29</v>
      </c>
      <c r="E61" s="3"/>
      <c r="F61" s="28"/>
      <c r="G61" s="2" t="s">
        <v>105</v>
      </c>
      <c r="H61" s="4">
        <f>0.6*H59^2</f>
        <v>361.95293409692573</v>
      </c>
      <c r="I61" s="3" t="s">
        <v>29</v>
      </c>
      <c r="J61" s="3"/>
      <c r="K61" s="28"/>
      <c r="L61" s="2" t="s">
        <v>105</v>
      </c>
      <c r="M61" s="4">
        <f>0.6*M59^2</f>
        <v>1803.4166438981078</v>
      </c>
      <c r="N61" s="3" t="s">
        <v>29</v>
      </c>
      <c r="O61" s="20"/>
      <c r="Q61" s="28"/>
      <c r="R61" s="2" t="s">
        <v>105</v>
      </c>
      <c r="S61" s="4">
        <f>0.6*S59^2</f>
        <v>278.88491088944369</v>
      </c>
      <c r="T61" s="3" t="s">
        <v>29</v>
      </c>
      <c r="U61" s="20"/>
      <c r="V61" s="3"/>
      <c r="W61" s="2" t="s">
        <v>105</v>
      </c>
      <c r="X61" s="4">
        <f>0.6*X59^2</f>
        <v>590.03749741898821</v>
      </c>
      <c r="Y61" s="3" t="s">
        <v>29</v>
      </c>
      <c r="Z61" s="3"/>
      <c r="AA61" s="28"/>
      <c r="AB61" s="2" t="s">
        <v>105</v>
      </c>
      <c r="AC61" s="4">
        <f>0.6*AC59^2</f>
        <v>2087.5222961547429</v>
      </c>
      <c r="AD61" s="3" t="s">
        <v>29</v>
      </c>
      <c r="AE61" s="20"/>
    </row>
    <row r="62" spans="1:31" ht="16.5" x14ac:dyDescent="0.45">
      <c r="A62" s="28"/>
      <c r="B62" s="2" t="s">
        <v>106</v>
      </c>
      <c r="C62" s="4">
        <f>IF(C59&gt;10,IF(F43&lt;16,3*SQRT(F43)/4,3),IF(F43&gt;12,6,3*SQRT(F43)/4))</f>
        <v>3</v>
      </c>
      <c r="D62" s="3"/>
      <c r="E62" s="3"/>
      <c r="F62" s="28"/>
      <c r="G62" s="2" t="s">
        <v>19</v>
      </c>
      <c r="H62" s="4">
        <f>IF(H59&gt;10,IF(F43&lt;16,3*SQRT(F43)/4,3),IF(F43&gt;12,6,3*SQRT(F43)/4))</f>
        <v>3</v>
      </c>
      <c r="I62" s="3"/>
      <c r="J62" s="3"/>
      <c r="K62" s="28"/>
      <c r="L62" s="2" t="s">
        <v>19</v>
      </c>
      <c r="M62" s="4">
        <f>IF(M59&gt;10,IF(F43&lt;16,3*SQRT(F43)/4,3),IF(F43&gt;12,6,3*SQRT(F43)/4))</f>
        <v>3</v>
      </c>
      <c r="N62" s="3"/>
      <c r="O62" s="20"/>
      <c r="Q62" s="28"/>
      <c r="R62" s="2" t="s">
        <v>19</v>
      </c>
      <c r="S62" s="4">
        <f>IF(S59&gt;10,IF(F43&lt;16,3*SQRT(F43)/4,3),IF(F43&gt;12,6,3*SQRT(F43)/4))</f>
        <v>3</v>
      </c>
      <c r="T62" s="3"/>
      <c r="U62" s="20"/>
      <c r="V62" s="3"/>
      <c r="W62" s="2" t="s">
        <v>19</v>
      </c>
      <c r="X62" s="4">
        <f>IF(X59&gt;10,IF(F43&lt;16,3*SQRT(F43)/4,3),IF(F43&gt;12,6,3*SQRT(F43)/4))</f>
        <v>3</v>
      </c>
      <c r="Y62" s="3"/>
      <c r="Z62" s="3"/>
      <c r="AA62" s="28"/>
      <c r="AB62" s="2" t="s">
        <v>19</v>
      </c>
      <c r="AC62" s="4">
        <f>IF(AC59&gt;10,IF(F43&lt;16,3*SQRT(F43)/4,3),IF(F43&gt;12,6,3*SQRT(F43)/4))</f>
        <v>3</v>
      </c>
      <c r="AD62" s="3"/>
      <c r="AE62" s="20"/>
    </row>
    <row r="63" spans="1:31" ht="16.5" x14ac:dyDescent="0.45">
      <c r="A63" s="28"/>
      <c r="B63" s="2" t="s">
        <v>107</v>
      </c>
      <c r="C63" s="3">
        <f>IF(C59&lt;10,IF(F43&gt;12,1.2,0.6),0.6)</f>
        <v>0.6</v>
      </c>
      <c r="D63" s="3"/>
      <c r="E63" s="3"/>
      <c r="F63" s="28"/>
      <c r="G63" s="2" t="s">
        <v>20</v>
      </c>
      <c r="H63" s="3">
        <f>IF(H59&lt;10,IF(F43&gt;12,1.2,0.6),0.6)</f>
        <v>0.6</v>
      </c>
      <c r="I63" s="3"/>
      <c r="J63" s="3"/>
      <c r="K63" s="28"/>
      <c r="L63" s="2" t="s">
        <v>20</v>
      </c>
      <c r="M63" s="3">
        <f>IF(M59&lt;10,IF(F43&gt;12,1.2,0.6),0.6)</f>
        <v>0.6</v>
      </c>
      <c r="N63" s="3"/>
      <c r="O63" s="20"/>
      <c r="Q63" s="28"/>
      <c r="R63" s="2" t="s">
        <v>20</v>
      </c>
      <c r="S63" s="3">
        <f>IF(S59&lt;10,IF(F43&gt;12,1.2,0.6),0.6)</f>
        <v>0.6</v>
      </c>
      <c r="T63" s="3"/>
      <c r="U63" s="20"/>
      <c r="V63" s="3"/>
      <c r="W63" s="2" t="s">
        <v>20</v>
      </c>
      <c r="X63" s="3">
        <f>IF(X59&lt;10,IF(F43&gt;12,1.2,0.6),0.6)</f>
        <v>0.6</v>
      </c>
      <c r="Y63" s="3"/>
      <c r="Z63" s="3"/>
      <c r="AA63" s="28"/>
      <c r="AB63" s="2" t="s">
        <v>20</v>
      </c>
      <c r="AC63" s="3">
        <f>IF(AC59&lt;10,IF(F43&gt;12,1.2,0.6),0.6)</f>
        <v>0.6</v>
      </c>
      <c r="AD63" s="3"/>
      <c r="AE63" s="20"/>
    </row>
    <row r="64" spans="1:31" x14ac:dyDescent="0.35">
      <c r="A64" s="28"/>
      <c r="B64" s="2"/>
      <c r="C64" s="3"/>
      <c r="D64" s="3"/>
      <c r="E64" s="3"/>
      <c r="F64" s="28"/>
      <c r="G64" s="2"/>
      <c r="H64" s="3"/>
      <c r="I64" s="3"/>
      <c r="J64" s="3"/>
      <c r="K64" s="28"/>
      <c r="L64" s="2"/>
      <c r="M64" s="3"/>
      <c r="N64" s="3"/>
      <c r="O64" s="20"/>
      <c r="Q64" s="28"/>
      <c r="R64" s="3"/>
      <c r="S64" s="3"/>
      <c r="T64" s="3"/>
      <c r="U64" s="20"/>
      <c r="V64" s="3"/>
      <c r="W64" s="3"/>
      <c r="X64" s="3"/>
      <c r="Y64" s="3"/>
      <c r="Z64" s="3"/>
      <c r="AA64" s="28"/>
      <c r="AB64" s="3"/>
      <c r="AC64" s="3"/>
      <c r="AD64" s="3"/>
      <c r="AE64" s="20"/>
    </row>
    <row r="65" spans="1:31" ht="17.5" x14ac:dyDescent="0.45">
      <c r="A65" s="28"/>
      <c r="B65" s="2" t="s">
        <v>108</v>
      </c>
      <c r="C65" s="21">
        <f>C63*$E$46*($B$7*25.4/1000)^2/($B$10*1.48816)</f>
        <v>1.2788417431872788E-3</v>
      </c>
      <c r="D65" s="3"/>
      <c r="E65" s="22" t="str">
        <f>IF(C65&lt;$B$18, "OK","Bad")</f>
        <v>OK</v>
      </c>
      <c r="F65" s="28"/>
      <c r="G65" s="2" t="s">
        <v>108</v>
      </c>
      <c r="H65" s="21">
        <f>H63*E46*($B$7*25.4/1000)^2/($B$10*1.48816)</f>
        <v>1.2788417431872788E-3</v>
      </c>
      <c r="I65" s="3"/>
      <c r="J65" s="22" t="str">
        <f>IF(H65&lt;$B$18, "OK","Bad")</f>
        <v>OK</v>
      </c>
      <c r="K65" s="28"/>
      <c r="L65" s="2" t="s">
        <v>108</v>
      </c>
      <c r="M65" s="21">
        <f>M63*E46*($B$7*25.4/1000)^2/($B$10*1.48816)</f>
        <v>1.2788417431872788E-3</v>
      </c>
      <c r="N65" s="3"/>
      <c r="O65" s="38" t="str">
        <f>IF(M65&lt;$B$18, "OK","Bad")</f>
        <v>OK</v>
      </c>
      <c r="Q65" s="7"/>
      <c r="R65" s="2" t="s">
        <v>108</v>
      </c>
      <c r="S65" s="21">
        <f>S63*E46*($B$7*25.4/1000)^2/($B$10*1.48816)</f>
        <v>1.2788417431872788E-3</v>
      </c>
      <c r="T65" s="3"/>
      <c r="U65" s="38" t="str">
        <f>IF(S65&lt;$B$18, "OK","Bad")</f>
        <v>OK</v>
      </c>
      <c r="V65" s="3"/>
      <c r="W65" s="2" t="s">
        <v>108</v>
      </c>
      <c r="X65" s="21">
        <f>X63*E46*($B$7*25.4/1000)^2/($B$10*1.48816)</f>
        <v>1.2788417431872788E-3</v>
      </c>
      <c r="Y65" s="3"/>
      <c r="Z65" s="22" t="str">
        <f>IF(X65&lt;$B$18, "OK","Bad")</f>
        <v>OK</v>
      </c>
      <c r="AA65" s="28"/>
      <c r="AB65" s="2" t="s">
        <v>108</v>
      </c>
      <c r="AC65" s="21">
        <f>AC63*E46*($B$7*25.4/1000)^2/($B$10*1.48816)</f>
        <v>1.2788417431872788E-3</v>
      </c>
      <c r="AE65" s="38" t="str">
        <f>IF(AC65&lt;$B$18, "OK","Bad")</f>
        <v>OK</v>
      </c>
    </row>
    <row r="66" spans="1:31" x14ac:dyDescent="0.35">
      <c r="A66" s="28"/>
      <c r="B66" s="3"/>
      <c r="C66" s="3"/>
      <c r="D66" s="3"/>
      <c r="E66" s="3"/>
      <c r="F66" s="28"/>
      <c r="G66" s="3"/>
      <c r="H66" s="3"/>
      <c r="I66" s="3"/>
      <c r="J66" s="3"/>
      <c r="K66" s="28"/>
      <c r="L66" s="3"/>
      <c r="M66" s="3"/>
      <c r="N66" s="3"/>
      <c r="O66" s="20"/>
      <c r="Q66" s="7"/>
      <c r="U66" s="8"/>
      <c r="AA66" s="7"/>
      <c r="AE66" s="8"/>
    </row>
    <row r="67" spans="1:31" ht="16.5" x14ac:dyDescent="0.45">
      <c r="A67" s="28"/>
      <c r="B67" s="11" t="s">
        <v>80</v>
      </c>
      <c r="C67" s="4">
        <f>IF($B$18&lt;C65,0,(C62*C61*($B$7*25.4/1000))/(SQRT(F43)*SQRT($B$18-C65)))</f>
        <v>374.51412435403421</v>
      </c>
      <c r="D67" s="3" t="s">
        <v>21</v>
      </c>
      <c r="E67" s="3"/>
      <c r="F67" s="28"/>
      <c r="G67" s="11" t="s">
        <v>80</v>
      </c>
      <c r="H67" s="4">
        <f>IF($B$18&lt;H65,0,(H62*H61*($B$7*25.4/1000))/(SQRT(F43)*SQRT($B$18-H65)))</f>
        <v>792.36046144324575</v>
      </c>
      <c r="I67" s="3" t="s">
        <v>21</v>
      </c>
      <c r="J67" s="3"/>
      <c r="K67" s="28"/>
      <c r="L67" s="11" t="s">
        <v>80</v>
      </c>
      <c r="M67" s="4">
        <f>IF($B$18&lt;M65,0,(M62*M61*($B$7*25.4/1000))/(SQRT(F43)*SQRT($B$18-M65)))</f>
        <v>3947.9056792253568</v>
      </c>
      <c r="N67" s="3" t="s">
        <v>21</v>
      </c>
      <c r="O67" s="20"/>
      <c r="Q67" s="28"/>
      <c r="R67" s="11" t="s">
        <v>80</v>
      </c>
      <c r="S67" s="4">
        <f>IF($B$18&lt;S65,0,(S62*S61*($B$7*25.4/1000))/(SQRT(F43)*SQRT($B$18-S65)))</f>
        <v>610.51411900626704</v>
      </c>
      <c r="T67" s="3" t="s">
        <v>21</v>
      </c>
      <c r="U67" s="20"/>
      <c r="V67" s="3"/>
      <c r="W67" s="11" t="s">
        <v>80</v>
      </c>
      <c r="X67" s="4">
        <f>IF($B$18&lt;X65,0,(X62*X61*($B$7*25.4/1000))/(SQRT(F43)*SQRT($B$18-X65)))</f>
        <v>1291.6662352529288</v>
      </c>
      <c r="Y67" s="3" t="s">
        <v>21</v>
      </c>
      <c r="Z67" s="3"/>
      <c r="AA67" s="28"/>
      <c r="AB67" s="11" t="s">
        <v>80</v>
      </c>
      <c r="AC67" s="4">
        <f>IF($B$18&lt;AC65,0,(AC62*AC61*($B$7*25.4/1000))/(SQRT(F43)*SQRT($B$18-AC65)))</f>
        <v>4569.8486572049733</v>
      </c>
      <c r="AD67" s="3" t="s">
        <v>21</v>
      </c>
      <c r="AE67" s="20"/>
    </row>
    <row r="68" spans="1:31" x14ac:dyDescent="0.35">
      <c r="A68" s="28"/>
      <c r="B68" s="3"/>
      <c r="C68" s="3"/>
      <c r="D68" s="3"/>
      <c r="E68" s="3"/>
      <c r="F68" s="28"/>
      <c r="G68" s="3"/>
      <c r="H68" s="3"/>
      <c r="I68" s="3"/>
      <c r="J68" s="3"/>
      <c r="K68" s="28"/>
      <c r="L68" s="3"/>
      <c r="M68" s="3"/>
      <c r="N68" s="3"/>
      <c r="O68" s="20"/>
      <c r="Q68" s="28"/>
      <c r="R68" s="3"/>
      <c r="S68" s="3"/>
      <c r="T68" s="3"/>
      <c r="U68" s="20"/>
      <c r="V68" s="3"/>
      <c r="W68" s="3"/>
      <c r="X68" s="3"/>
      <c r="Y68" s="3"/>
      <c r="Z68" s="3"/>
      <c r="AA68" s="28"/>
      <c r="AB68" s="3"/>
      <c r="AC68" s="3"/>
      <c r="AD68" s="3"/>
      <c r="AE68" s="20"/>
    </row>
    <row r="69" spans="1:31" ht="16.5" x14ac:dyDescent="0.35">
      <c r="A69" s="28"/>
      <c r="B69" s="78" t="s">
        <v>132</v>
      </c>
      <c r="C69" s="4">
        <f>IF((MAX(IF($V$29="Yes",$V$30,0),IF($W$29="Yes",$W$30,0),IF($Y$29="Yes",$Y$30,0)))/C56&gt;1,1,(MAX(IF($V$29="Yes",$V$30,0),IF($W$29="Yes",$W$30,0),IF($Y$29="Yes",$Y$30,0)))/C56)</f>
        <v>1</v>
      </c>
      <c r="D69" s="3"/>
      <c r="E69" s="3"/>
      <c r="F69" s="28"/>
      <c r="G69" s="78" t="s">
        <v>126</v>
      </c>
      <c r="H69" s="4">
        <f>IF((MAX(IF($V$29="Yes",$V$30,0),IF($W$29="Yes",$W$30,0),IF($Y$29="Yes",$Y$30,0)))/H56&gt;1,1,(MAX(IF($V$29="Yes",$V$30,0),IF($W$29="Yes",$W$30,0),IF($Y$29="Yes",$Y$30,0)))/H56)</f>
        <v>1</v>
      </c>
      <c r="I69" s="3"/>
      <c r="J69" s="3"/>
      <c r="K69" s="28"/>
      <c r="L69" s="78" t="s">
        <v>126</v>
      </c>
      <c r="M69" s="4">
        <f>IF((MAX(IF($V$29="Yes",$V$30,0),IF($W$29="Yes",$W$30,0),IF($Y$29="Yes",$Y$30,0)))/M56&gt;1,1,(MAX(IF($V$29="Yes",$V$30,0),IF($W$29="Yes",$W$30,0),IF($Y$29="Yes",$Y$30,0)))/M56)</f>
        <v>1</v>
      </c>
      <c r="N69" s="3"/>
      <c r="O69" s="20"/>
      <c r="Q69" s="7"/>
      <c r="R69" s="78" t="s">
        <v>126</v>
      </c>
      <c r="S69" s="4">
        <f>IF((MAX(IF($V$36="Yes",$V$37,0),IF($W$36="Yes",$W$37,0),IF($Y$36="Yes",$Y$37,0)))/S56&gt;1,1,(MAX(IF($V$36="Yes",$V$37,0),IF($W$36="Yes",$W$37,0),IF($Y$36="Yes",$Y$37,0)))/S56)</f>
        <v>0.92766914569488002</v>
      </c>
      <c r="T69" s="3"/>
      <c r="U69" s="20"/>
      <c r="W69" s="78" t="s">
        <v>126</v>
      </c>
      <c r="X69" s="4">
        <f>IF((MAX(IF($V$36="Yes",$V$37,0),IF($W$36="Yes",$W$37,0),IF($Y$36="Yes",$Y$37,0)))/X56&gt;1,1,(MAX(IF($V$36="Yes",$V$37,0),IF($W$36="Yes",$W$37,0),IF($Y$36="Yes",$Y$37,0)))/X56)</f>
        <v>0.63777253766523012</v>
      </c>
      <c r="Y69" s="3"/>
      <c r="Z69" s="20"/>
      <c r="AB69" s="78" t="s">
        <v>126</v>
      </c>
      <c r="AC69" s="4">
        <f>IF((MAX(IF($V$36="Yes",$V$37,0),IF($W$36="Yes",$W$37,0),IF($Y$36="Yes",$Y$37,0)))/AC56&gt;1,1,(MAX(IF($V$36="Yes",$V$37,0),IF($W$36="Yes",$W$37,0),IF($Y$36="Yes",$Y$37,0)))/AC56)</f>
        <v>0.33907054121816571</v>
      </c>
      <c r="AD69" s="3"/>
      <c r="AE69" s="20"/>
    </row>
    <row r="70" spans="1:31" x14ac:dyDescent="0.35">
      <c r="A70" s="82"/>
      <c r="B70" s="80" t="s">
        <v>127</v>
      </c>
      <c r="C70" s="84">
        <v>50</v>
      </c>
      <c r="E70" s="85" t="s">
        <v>131</v>
      </c>
      <c r="F70" s="82"/>
      <c r="G70" s="80" t="s">
        <v>127</v>
      </c>
      <c r="H70" s="84">
        <v>50</v>
      </c>
      <c r="J70" s="85" t="s">
        <v>131</v>
      </c>
      <c r="K70" s="82"/>
      <c r="L70" s="80" t="s">
        <v>127</v>
      </c>
      <c r="M70" s="84">
        <v>50</v>
      </c>
      <c r="O70" s="86" t="s">
        <v>131</v>
      </c>
      <c r="P70" s="72"/>
      <c r="Q70" s="82"/>
      <c r="R70" s="80" t="s">
        <v>127</v>
      </c>
      <c r="S70" s="84">
        <v>6</v>
      </c>
      <c r="U70" s="86" t="s">
        <v>131</v>
      </c>
      <c r="V70" s="81"/>
      <c r="W70" s="80" t="s">
        <v>127</v>
      </c>
      <c r="X70" s="84">
        <v>1.8</v>
      </c>
      <c r="Z70" s="86" t="s">
        <v>131</v>
      </c>
      <c r="AA70" s="82"/>
      <c r="AB70" s="80" t="s">
        <v>127</v>
      </c>
      <c r="AC70" s="84">
        <v>1.2</v>
      </c>
      <c r="AE70" s="86" t="s">
        <v>131</v>
      </c>
    </row>
    <row r="71" spans="1:31" x14ac:dyDescent="0.35">
      <c r="A71" s="28"/>
      <c r="B71" s="2" t="s">
        <v>22</v>
      </c>
      <c r="C71" s="4">
        <f>(C70*C67/1000)</f>
        <v>18.72570621770171</v>
      </c>
      <c r="D71" s="3" t="s">
        <v>23</v>
      </c>
      <c r="E71" s="50"/>
      <c r="F71" s="51"/>
      <c r="G71" s="2" t="s">
        <v>22</v>
      </c>
      <c r="H71" s="4">
        <f>(H70*H67/1000)</f>
        <v>39.618023072162288</v>
      </c>
      <c r="I71" s="3" t="s">
        <v>23</v>
      </c>
      <c r="J71" s="50"/>
      <c r="K71" s="51"/>
      <c r="L71" s="2" t="s">
        <v>22</v>
      </c>
      <c r="M71" s="4">
        <f>(M70*M67/1000)</f>
        <v>197.39528396126786</v>
      </c>
      <c r="N71" s="3" t="s">
        <v>23</v>
      </c>
      <c r="O71" s="52"/>
      <c r="P71" s="53"/>
      <c r="Q71" s="28"/>
      <c r="R71" s="2" t="s">
        <v>22</v>
      </c>
      <c r="S71" s="4">
        <f>(S70*S67/1000)</f>
        <v>3.6630847140376024</v>
      </c>
      <c r="T71" s="3" t="s">
        <v>23</v>
      </c>
      <c r="U71" s="20"/>
      <c r="V71" s="3"/>
      <c r="W71" s="2" t="s">
        <v>22</v>
      </c>
      <c r="X71" s="4">
        <f>(X70*X67/1000)</f>
        <v>2.3249992234552721</v>
      </c>
      <c r="Y71" s="3" t="s">
        <v>23</v>
      </c>
      <c r="Z71" s="3"/>
      <c r="AA71" s="28"/>
      <c r="AB71" s="2" t="s">
        <v>22</v>
      </c>
      <c r="AC71" s="4">
        <f>(AC70*AC67/1000)</f>
        <v>5.4838183886459673</v>
      </c>
      <c r="AD71" s="3" t="s">
        <v>23</v>
      </c>
      <c r="AE71" s="20"/>
    </row>
    <row r="72" spans="1:31" ht="15" thickBot="1" x14ac:dyDescent="0.4">
      <c r="A72" s="28"/>
      <c r="B72" s="3"/>
      <c r="C72" s="3"/>
      <c r="D72" s="3"/>
      <c r="E72" s="50"/>
      <c r="F72" s="51"/>
      <c r="G72" s="3"/>
      <c r="H72" s="3"/>
      <c r="I72" s="3"/>
      <c r="J72" s="50"/>
      <c r="K72" s="51"/>
      <c r="L72" s="3"/>
      <c r="M72" s="3"/>
      <c r="N72" s="3"/>
      <c r="O72" s="52"/>
      <c r="P72" s="53"/>
      <c r="Q72" s="28"/>
      <c r="R72" s="3"/>
      <c r="S72" s="3"/>
      <c r="T72" s="3"/>
      <c r="U72" s="20"/>
      <c r="V72" s="3"/>
      <c r="W72" s="3"/>
      <c r="X72" s="3"/>
      <c r="Y72" s="3"/>
      <c r="Z72" s="3"/>
      <c r="AA72" s="28"/>
      <c r="AB72" s="3"/>
      <c r="AC72" s="3"/>
      <c r="AD72" s="3"/>
      <c r="AE72" s="20"/>
    </row>
    <row r="73" spans="1:31" ht="15" thickTop="1" x14ac:dyDescent="0.35">
      <c r="A73" s="28"/>
      <c r="B73" s="64" t="s">
        <v>24</v>
      </c>
      <c r="C73" s="65">
        <f>C71</f>
        <v>18.72570621770171</v>
      </c>
      <c r="D73" s="66" t="s">
        <v>23</v>
      </c>
      <c r="E73" s="50"/>
      <c r="F73" s="51"/>
      <c r="G73" s="64" t="s">
        <v>24</v>
      </c>
      <c r="H73" s="65">
        <f>H71</f>
        <v>39.618023072162288</v>
      </c>
      <c r="I73" s="66" t="s">
        <v>23</v>
      </c>
      <c r="J73" s="50"/>
      <c r="K73" s="51"/>
      <c r="L73" s="64" t="s">
        <v>24</v>
      </c>
      <c r="M73" s="65">
        <f>M71</f>
        <v>197.39528396126786</v>
      </c>
      <c r="N73" s="66" t="s">
        <v>23</v>
      </c>
      <c r="O73" s="52"/>
      <c r="P73" s="53"/>
      <c r="Q73" s="28"/>
      <c r="R73" s="64" t="s">
        <v>24</v>
      </c>
      <c r="S73" s="65">
        <f>S71</f>
        <v>3.6630847140376024</v>
      </c>
      <c r="T73" s="66" t="s">
        <v>23</v>
      </c>
      <c r="U73" s="20"/>
      <c r="V73" s="3"/>
      <c r="W73" s="64" t="s">
        <v>24</v>
      </c>
      <c r="X73" s="65">
        <f>X71</f>
        <v>2.3249992234552721</v>
      </c>
      <c r="Y73" s="66" t="s">
        <v>23</v>
      </c>
      <c r="Z73" s="3"/>
      <c r="AA73" s="28"/>
      <c r="AB73" s="64" t="s">
        <v>24</v>
      </c>
      <c r="AC73" s="65">
        <f>AC71</f>
        <v>5.4838183886459673</v>
      </c>
      <c r="AD73" s="66" t="s">
        <v>23</v>
      </c>
      <c r="AE73" s="20"/>
    </row>
    <row r="74" spans="1:31" x14ac:dyDescent="0.35">
      <c r="A74" s="28"/>
      <c r="B74" s="67" t="s">
        <v>25</v>
      </c>
      <c r="C74" s="4">
        <f>(C71*($B$14*25.4/1000)^2/8)</f>
        <v>489.01740797146579</v>
      </c>
      <c r="D74" s="68" t="s">
        <v>33</v>
      </c>
      <c r="E74" s="50"/>
      <c r="F74" s="51"/>
      <c r="G74" s="67" t="s">
        <v>25</v>
      </c>
      <c r="H74" s="4">
        <f>(H71*($B$14*25.4/1000)^2/8)</f>
        <v>1034.6153424850845</v>
      </c>
      <c r="I74" s="68" t="s">
        <v>33</v>
      </c>
      <c r="J74" s="50"/>
      <c r="K74" s="51"/>
      <c r="L74" s="67" t="s">
        <v>25</v>
      </c>
      <c r="M74" s="4">
        <f>((M71*($B$14*25.4/1000)^2/8))/3</f>
        <v>1718.3104513530454</v>
      </c>
      <c r="N74" s="68" t="s">
        <v>33</v>
      </c>
      <c r="O74" s="52"/>
      <c r="P74" s="53"/>
      <c r="Q74" s="28"/>
      <c r="R74" s="67" t="s">
        <v>25</v>
      </c>
      <c r="S74" s="4">
        <f>(S71*($B$14*25.4/1000)^2/8)</f>
        <v>95.660594650641812</v>
      </c>
      <c r="T74" s="68" t="s">
        <v>33</v>
      </c>
      <c r="U74" s="20"/>
      <c r="V74" s="3"/>
      <c r="W74" s="67" t="s">
        <v>25</v>
      </c>
      <c r="X74" s="4">
        <f>(X71*($B$14*25.4/1000)^2/8)</f>
        <v>60.716807183217298</v>
      </c>
      <c r="Y74" s="68" t="s">
        <v>33</v>
      </c>
      <c r="Z74" s="3"/>
      <c r="AA74" s="28"/>
      <c r="AB74" s="67" t="s">
        <v>25</v>
      </c>
      <c r="AC74" s="4">
        <f>((AC71*($B$14*25.4/1000)^2/8))/3</f>
        <v>47.736208593419633</v>
      </c>
      <c r="AD74" s="68" t="s">
        <v>33</v>
      </c>
      <c r="AE74" s="20"/>
    </row>
    <row r="75" spans="1:31" ht="15" thickBot="1" x14ac:dyDescent="0.4">
      <c r="A75" s="28"/>
      <c r="B75" s="69" t="s">
        <v>26</v>
      </c>
      <c r="C75" s="70">
        <f>(C74*1000*1000)/($B$9*25.4^3)</f>
        <v>425.76748839401824</v>
      </c>
      <c r="D75" s="71" t="s">
        <v>35</v>
      </c>
      <c r="E75" s="50"/>
      <c r="F75" s="51"/>
      <c r="G75" s="69" t="s">
        <v>26</v>
      </c>
      <c r="H75" s="70">
        <f>(H74*1000*1000)/($B$9*25.4^3)</f>
        <v>900.79733081709639</v>
      </c>
      <c r="I75" s="71" t="s">
        <v>35</v>
      </c>
      <c r="J75" s="50"/>
      <c r="K75" s="51"/>
      <c r="L75" s="69" t="s">
        <v>26</v>
      </c>
      <c r="M75" s="70">
        <f>(M74*1000*1000)/($B$9*25.4^3)</f>
        <v>1496.0627438368554</v>
      </c>
      <c r="N75" s="71" t="s">
        <v>35</v>
      </c>
      <c r="O75" s="52"/>
      <c r="P75" s="53"/>
      <c r="Q75" s="28"/>
      <c r="R75" s="69" t="s">
        <v>26</v>
      </c>
      <c r="S75" s="70">
        <f>(S74*1000*1000)/($B$9*25.4^3)</f>
        <v>83.287773520444034</v>
      </c>
      <c r="T75" s="71" t="s">
        <v>35</v>
      </c>
      <c r="U75" s="20"/>
      <c r="V75" s="3"/>
      <c r="W75" s="69" t="s">
        <v>26</v>
      </c>
      <c r="X75" s="70">
        <f>(X74*1000*1000)/($B$9*25.4^3)</f>
        <v>52.863644680744656</v>
      </c>
      <c r="Y75" s="71" t="s">
        <v>35</v>
      </c>
      <c r="Z75" s="3"/>
      <c r="AA75" s="28"/>
      <c r="AB75" s="69" t="s">
        <v>26</v>
      </c>
      <c r="AC75" s="70">
        <f>(AC74*1000*1000)/($B$9*25.4^3)</f>
        <v>41.561967543411392</v>
      </c>
      <c r="AD75" s="71" t="s">
        <v>35</v>
      </c>
      <c r="AE75" s="20"/>
    </row>
    <row r="76" spans="1:31" ht="15" thickTop="1" x14ac:dyDescent="0.35">
      <c r="A76" s="29"/>
      <c r="B76" s="23"/>
      <c r="C76" s="23"/>
      <c r="D76" s="23"/>
      <c r="E76" s="23"/>
      <c r="F76" s="29"/>
      <c r="G76" s="23"/>
      <c r="H76" s="23"/>
      <c r="I76" s="23"/>
      <c r="J76" s="23"/>
      <c r="K76" s="29"/>
      <c r="L76" s="23"/>
      <c r="M76" s="23"/>
      <c r="N76" s="23"/>
      <c r="O76" s="24"/>
      <c r="Q76" s="29"/>
      <c r="R76" s="23"/>
      <c r="S76" s="23"/>
      <c r="T76" s="23"/>
      <c r="U76" s="24"/>
      <c r="V76" s="23"/>
      <c r="W76" s="23"/>
      <c r="X76" s="23"/>
      <c r="Y76" s="23"/>
      <c r="Z76" s="23"/>
      <c r="AA76" s="29"/>
      <c r="AB76" s="23"/>
      <c r="AC76" s="23"/>
      <c r="AD76" s="23"/>
      <c r="AE76" s="24"/>
    </row>
    <row r="78" spans="1:31" x14ac:dyDescent="0.35">
      <c r="A78" s="3" t="s">
        <v>135</v>
      </c>
      <c r="Q78" t="s">
        <v>49</v>
      </c>
    </row>
    <row r="79" spans="1:31" x14ac:dyDescent="0.35">
      <c r="A79" s="26"/>
      <c r="B79" s="27"/>
      <c r="C79" s="44" t="str">
        <f>G6</f>
        <v>Mode</v>
      </c>
      <c r="D79" s="45">
        <f>H6</f>
        <v>1</v>
      </c>
      <c r="E79" s="17"/>
      <c r="F79" s="26"/>
      <c r="G79" s="17"/>
      <c r="H79" s="44" t="str">
        <f>I6</f>
        <v>Mode</v>
      </c>
      <c r="I79" s="45">
        <f>J6</f>
        <v>1</v>
      </c>
      <c r="J79" s="17"/>
      <c r="K79" s="26"/>
      <c r="L79" s="17"/>
      <c r="M79" s="44" t="str">
        <f>K6</f>
        <v>Mode</v>
      </c>
      <c r="N79" s="45">
        <f>L6</f>
        <v>2</v>
      </c>
      <c r="O79" s="18"/>
      <c r="Q79" s="26"/>
      <c r="R79" s="27"/>
      <c r="S79" s="44" t="str">
        <f>C52</f>
        <v>Mode</v>
      </c>
      <c r="T79" s="45">
        <f>D52</f>
        <v>1</v>
      </c>
      <c r="U79" s="17"/>
      <c r="V79" s="26"/>
      <c r="W79" s="17"/>
      <c r="X79" s="44" t="str">
        <f>H52</f>
        <v>Mode</v>
      </c>
      <c r="Y79" s="45">
        <f>I52</f>
        <v>1</v>
      </c>
      <c r="Z79" s="17"/>
      <c r="AA79" s="26"/>
      <c r="AB79" s="17"/>
      <c r="AC79" s="44" t="str">
        <f>M52</f>
        <v>Mode</v>
      </c>
      <c r="AD79" s="45">
        <f>N52</f>
        <v>2</v>
      </c>
      <c r="AE79" s="18"/>
    </row>
    <row r="80" spans="1:31" x14ac:dyDescent="0.35">
      <c r="A80" s="29"/>
      <c r="B80" s="30"/>
      <c r="C80" s="31" t="s">
        <v>4</v>
      </c>
      <c r="D80" s="23"/>
      <c r="E80" s="23"/>
      <c r="F80" s="29"/>
      <c r="G80" s="23"/>
      <c r="H80" s="31" t="s">
        <v>5</v>
      </c>
      <c r="I80" s="23"/>
      <c r="J80" s="23"/>
      <c r="K80" s="29"/>
      <c r="L80" s="23"/>
      <c r="M80" s="31" t="s">
        <v>4</v>
      </c>
      <c r="N80" s="23"/>
      <c r="O80" s="24"/>
      <c r="Q80" s="29"/>
      <c r="R80" s="30"/>
      <c r="S80" s="31" t="s">
        <v>4</v>
      </c>
      <c r="T80" s="23"/>
      <c r="U80" s="23"/>
      <c r="V80" s="29"/>
      <c r="W80" s="23"/>
      <c r="X80" s="31" t="s">
        <v>5</v>
      </c>
      <c r="Y80" s="23"/>
      <c r="Z80" s="23"/>
      <c r="AA80" s="29"/>
      <c r="AB80" s="23"/>
      <c r="AC80" s="31" t="s">
        <v>4</v>
      </c>
      <c r="AD80" s="23"/>
      <c r="AE80" s="24"/>
    </row>
    <row r="81" spans="1:31" ht="15" thickBot="1" x14ac:dyDescent="0.4">
      <c r="A81" s="26"/>
      <c r="B81" s="27"/>
      <c r="C81" s="32"/>
      <c r="D81" s="17"/>
      <c r="E81" s="18"/>
      <c r="F81" s="3"/>
      <c r="G81" s="3"/>
      <c r="H81" s="22"/>
      <c r="I81" s="3"/>
      <c r="J81" s="3"/>
      <c r="K81" s="26"/>
      <c r="L81" s="17"/>
      <c r="M81" s="32"/>
      <c r="N81" s="17"/>
      <c r="O81" s="18"/>
      <c r="Q81" s="28"/>
      <c r="R81" s="2"/>
      <c r="S81" s="22"/>
      <c r="T81" s="3"/>
      <c r="U81" s="3"/>
      <c r="V81" s="28"/>
      <c r="W81" s="3"/>
      <c r="X81" s="22"/>
      <c r="Y81" s="3"/>
      <c r="Z81" s="3"/>
      <c r="AA81" s="28"/>
      <c r="AB81" s="3"/>
      <c r="AC81" s="22"/>
      <c r="AD81" s="3"/>
      <c r="AE81" s="20"/>
    </row>
    <row r="82" spans="1:31" ht="17.5" thickTop="1" thickBot="1" x14ac:dyDescent="0.5">
      <c r="A82" s="28"/>
      <c r="B82" s="46" t="s">
        <v>51</v>
      </c>
      <c r="C82" s="33">
        <f>IF(S13&gt;0,C56*(1+S14^2/D79^2)^0.5,C56*(1-S14^2/D79^2)^0.5)</f>
        <v>9.0060164236888465</v>
      </c>
      <c r="D82" s="34" t="s">
        <v>16</v>
      </c>
      <c r="E82" s="20"/>
      <c r="F82" s="3"/>
      <c r="G82" s="46" t="s">
        <v>51</v>
      </c>
      <c r="H82" s="33">
        <f>IF(S13&gt;0,H56*(1+S14^2/I79^2)^0.5,H56*(1-S14^2/I79^2)^0.5)</f>
        <v>13.099660252638319</v>
      </c>
      <c r="I82" s="34" t="s">
        <v>16</v>
      </c>
      <c r="J82" s="3"/>
      <c r="K82" s="28"/>
      <c r="L82" s="46" t="s">
        <v>51</v>
      </c>
      <c r="M82" s="33">
        <f>IF(S13&gt;0,M56*(1+S14^2/N79^2)^0.5,M56*(1-S14^2/N79^2)^0.5)</f>
        <v>27.562769807999697</v>
      </c>
      <c r="N82" s="34" t="s">
        <v>16</v>
      </c>
      <c r="O82" s="20"/>
      <c r="Q82" s="28"/>
      <c r="R82" s="46" t="s">
        <v>51</v>
      </c>
      <c r="S82" s="33">
        <f>IF(S19&gt;0,C56*(1+S20^2/T79^2)^0.5,C56*(1-S20^2/T79^2)^0.5)</f>
        <v>12.409590689226789</v>
      </c>
      <c r="T82" s="34" t="s">
        <v>16</v>
      </c>
      <c r="U82" s="3"/>
      <c r="V82" s="28"/>
      <c r="W82" s="46" t="s">
        <v>51</v>
      </c>
      <c r="X82" s="33">
        <f>IF(S19&gt;0,H56*(1+S20^2/Y79^2)^0.5,H56*(1-S20^2/Y79^2)^0.5)</f>
        <v>18.050313729784417</v>
      </c>
      <c r="Y82" s="34" t="s">
        <v>16</v>
      </c>
      <c r="Z82" s="3"/>
      <c r="AA82" s="28"/>
      <c r="AB82" s="46" t="s">
        <v>51</v>
      </c>
      <c r="AC82" s="33">
        <f>IF(S19&gt;0,M56*(1+S20^2/AD79^2)^0.5,M56*(1-S20^2/AD79^2)^0.5)</f>
        <v>30.851191748783027</v>
      </c>
      <c r="AD82" s="34" t="s">
        <v>16</v>
      </c>
      <c r="AE82" s="20"/>
    </row>
    <row r="83" spans="1:31" ht="15" thickTop="1" x14ac:dyDescent="0.35">
      <c r="A83" s="28"/>
      <c r="B83" s="2"/>
      <c r="C83" s="4"/>
      <c r="D83" s="3"/>
      <c r="E83" s="20"/>
      <c r="F83" s="3"/>
      <c r="G83" s="3"/>
      <c r="H83" s="3"/>
      <c r="I83" s="3"/>
      <c r="J83" s="3"/>
      <c r="K83" s="28"/>
      <c r="L83" s="3"/>
      <c r="M83" s="3"/>
      <c r="N83" s="3"/>
      <c r="O83" s="20"/>
      <c r="Q83" s="28"/>
      <c r="R83" s="2"/>
      <c r="S83" s="4"/>
      <c r="T83" s="3"/>
      <c r="U83" s="3"/>
      <c r="V83" s="28"/>
      <c r="W83" s="3"/>
      <c r="X83" s="3"/>
      <c r="Y83" s="3"/>
      <c r="Z83" s="3"/>
      <c r="AA83" s="28"/>
      <c r="AB83" s="3"/>
      <c r="AC83" s="3"/>
      <c r="AD83" s="3"/>
      <c r="AE83" s="20"/>
    </row>
    <row r="84" spans="1:31" ht="18" thickBot="1" x14ac:dyDescent="0.5">
      <c r="A84" s="28"/>
      <c r="B84" s="79" t="s">
        <v>69</v>
      </c>
      <c r="C84" s="87">
        <f>C82*($B$7*25.4/1000)^2</f>
        <v>1.4874423183122165</v>
      </c>
      <c r="D84" s="88" t="s">
        <v>17</v>
      </c>
      <c r="E84" s="89"/>
      <c r="F84" s="88"/>
      <c r="G84" s="79" t="s">
        <v>69</v>
      </c>
      <c r="H84" s="87">
        <f>H82*($B$7*25.4/1000)^2</f>
        <v>2.1635524629995873</v>
      </c>
      <c r="I84" s="88" t="s">
        <v>17</v>
      </c>
      <c r="J84" s="88"/>
      <c r="K84" s="90"/>
      <c r="L84" s="79" t="s">
        <v>69</v>
      </c>
      <c r="M84" s="87">
        <f>M82*($B$7*25.4/1000)^2</f>
        <v>4.5522935217482452</v>
      </c>
      <c r="N84" s="88" t="s">
        <v>17</v>
      </c>
      <c r="O84" s="20"/>
      <c r="Q84" s="28"/>
      <c r="R84" s="2" t="s">
        <v>69</v>
      </c>
      <c r="S84" s="25">
        <f>S82*($B$7*25.4/1000)^2</f>
        <v>2.0495799114397579</v>
      </c>
      <c r="T84" s="3" t="s">
        <v>17</v>
      </c>
      <c r="U84" s="3"/>
      <c r="V84" s="28"/>
      <c r="W84" s="2" t="s">
        <v>69</v>
      </c>
      <c r="X84" s="25">
        <f>X82*($B$7*25.4/1000)^2</f>
        <v>2.9812071439123748</v>
      </c>
      <c r="Y84" s="3" t="s">
        <v>17</v>
      </c>
      <c r="Z84" s="3"/>
      <c r="AA84" s="28"/>
      <c r="AB84" s="2" t="s">
        <v>69</v>
      </c>
      <c r="AC84" s="25">
        <f>AC82*($B$7*25.4/1000)^2</f>
        <v>5.095412446373083</v>
      </c>
      <c r="AD84" s="3" t="s">
        <v>17</v>
      </c>
      <c r="AE84" s="20"/>
    </row>
    <row r="85" spans="1:31" ht="17.5" thickTop="1" thickBot="1" x14ac:dyDescent="0.5">
      <c r="A85" s="28"/>
      <c r="B85" s="35" t="s">
        <v>70</v>
      </c>
      <c r="C85" s="36">
        <f>IF(C84&gt;0.5,IF(C84&gt;0.75,5*C82*$B$7*25.4/1000,3*C82*$B$7*25.4/1000+1.5/($B$7*25.4/1000)),6*C82*($B$7*25.4/1000))</f>
        <v>18.300225372935735</v>
      </c>
      <c r="D85" s="37" t="s">
        <v>18</v>
      </c>
      <c r="E85" s="38" t="str">
        <f>IF(C85&gt;K11, "OK","Bad")</f>
        <v>Bad</v>
      </c>
      <c r="F85" s="3"/>
      <c r="G85" s="35" t="s">
        <v>70</v>
      </c>
      <c r="H85" s="36">
        <f>IF(H84&gt;0.5,IF(H84&gt;0.75,5*H82*$B$7*25.4/1000,3*H82*$B$7*25.4/1000+1.5/($B$7*25.4/1000)),6*H82*($B$7*25.4/1000))</f>
        <v>26.618509633361061</v>
      </c>
      <c r="I85" s="37" t="s">
        <v>18</v>
      </c>
      <c r="J85" s="22" t="str">
        <f>IF(H85&gt;K11, "OK","Bad")</f>
        <v>Bad</v>
      </c>
      <c r="K85" s="28"/>
      <c r="L85" s="35" t="s">
        <v>70</v>
      </c>
      <c r="M85" s="36">
        <f>IF(M84&gt;0.5,IF(M84&gt;0.75,5*M82*$B$7*25.4/1000,3*M82*$B$7*25.4/1000+1.5/($B$7*25.4/1000)),6*M82*($B$7*25.4/1000))</f>
        <v>56.007548249855375</v>
      </c>
      <c r="N85" s="37" t="s">
        <v>18</v>
      </c>
      <c r="O85" s="38" t="str">
        <f>IF(M85&gt;K11, "OK","Bad")</f>
        <v>Bad</v>
      </c>
      <c r="Q85" s="28"/>
      <c r="R85" s="35" t="s">
        <v>70</v>
      </c>
      <c r="S85" s="36">
        <f>IF(S84&gt;0.5,IF(S84&gt;0.75,5*S82*$B$7*25.4/1000,3*S82*$B$7*25.4/1000+1.5/($B$7*25.4/1000)),6*S82*($B$7*25.4/1000))</f>
        <v>25.216288280508834</v>
      </c>
      <c r="T85" s="37" t="s">
        <v>18</v>
      </c>
      <c r="U85" s="22" t="str">
        <f>IF(S85&gt;G11, "OK","Bad")</f>
        <v>OK</v>
      </c>
      <c r="V85" s="28"/>
      <c r="W85" s="35" t="s">
        <v>70</v>
      </c>
      <c r="X85" s="36">
        <f>IF(X84&gt;0.5,IF(X84&gt;0.75,5*X82*$B$7*25.4/1000,3*X82*$B$7*25.4/1000+1.5/($B$7*25.4/1000)),6*X82*($B$7*25.4/1000))</f>
        <v>36.678237498921931</v>
      </c>
      <c r="Y85" s="37" t="s">
        <v>18</v>
      </c>
      <c r="Z85" s="22" t="str">
        <f>IF(X85&gt;G11, "OK","Bad")</f>
        <v>OK</v>
      </c>
      <c r="AA85" s="28"/>
      <c r="AB85" s="35" t="s">
        <v>70</v>
      </c>
      <c r="AC85" s="36">
        <f>IF(AC84&gt;0.5,IF(AC84&gt;0.75,5*AC82*$B$7*25.4/1000,3*AC82*$B$7*25.4/1000+1.5/($B$7*25.4/1000)),6*AC82*($B$7*25.4/1000))</f>
        <v>62.689621633527103</v>
      </c>
      <c r="AD85" s="37" t="s">
        <v>18</v>
      </c>
      <c r="AE85" s="38" t="str">
        <f>IF(AC85&gt;G11, "OK","Bad")</f>
        <v>OK</v>
      </c>
    </row>
    <row r="86" spans="1:31" ht="15" thickTop="1" x14ac:dyDescent="0.35">
      <c r="A86" s="28"/>
      <c r="B86" s="3"/>
      <c r="C86" s="3"/>
      <c r="D86" s="3"/>
      <c r="E86" s="20"/>
      <c r="F86" s="3"/>
      <c r="G86" s="3"/>
      <c r="H86" s="3"/>
      <c r="I86" s="3"/>
      <c r="J86" s="3"/>
      <c r="K86" s="28"/>
      <c r="L86" s="3"/>
      <c r="M86" s="3"/>
      <c r="N86" s="3"/>
      <c r="O86" s="20"/>
      <c r="Q86" s="28"/>
      <c r="R86" s="3"/>
      <c r="S86" s="3"/>
      <c r="T86" s="3"/>
      <c r="U86" s="3"/>
      <c r="V86" s="28"/>
      <c r="W86" s="3"/>
      <c r="X86" s="3"/>
      <c r="Y86" s="3"/>
      <c r="Z86" s="3"/>
      <c r="AA86" s="28"/>
      <c r="AB86" s="3"/>
      <c r="AC86" s="3"/>
      <c r="AD86" s="3"/>
      <c r="AE86" s="20"/>
    </row>
    <row r="87" spans="1:31" ht="16.5" x14ac:dyDescent="0.45">
      <c r="A87" s="28"/>
      <c r="B87" s="2" t="s">
        <v>105</v>
      </c>
      <c r="C87" s="4">
        <f>0.6*C85^2</f>
        <v>200.93894922014451</v>
      </c>
      <c r="D87" s="3" t="s">
        <v>29</v>
      </c>
      <c r="E87" s="20"/>
      <c r="F87" s="3"/>
      <c r="G87" s="2" t="s">
        <v>105</v>
      </c>
      <c r="H87" s="4">
        <f>0.6*H85^2</f>
        <v>425.12703306080135</v>
      </c>
      <c r="I87" s="3" t="s">
        <v>29</v>
      </c>
      <c r="J87" s="3"/>
      <c r="K87" s="28"/>
      <c r="L87" s="2" t="s">
        <v>105</v>
      </c>
      <c r="M87" s="4">
        <f>0.6*M85^2</f>
        <v>1882.1072765759268</v>
      </c>
      <c r="N87" s="3" t="s">
        <v>29</v>
      </c>
      <c r="O87" s="20"/>
      <c r="Q87" s="28"/>
      <c r="R87" s="2" t="s">
        <v>105</v>
      </c>
      <c r="S87" s="4">
        <f>0.6*S85^2</f>
        <v>381.51671678743634</v>
      </c>
      <c r="T87" s="3" t="s">
        <v>29</v>
      </c>
      <c r="U87" s="3"/>
      <c r="V87" s="28"/>
      <c r="W87" s="2" t="s">
        <v>105</v>
      </c>
      <c r="X87" s="4">
        <f>0.6*X85^2</f>
        <v>807.17586361639371</v>
      </c>
      <c r="Y87" s="3" t="s">
        <v>29</v>
      </c>
      <c r="Z87" s="3"/>
      <c r="AA87" s="28"/>
      <c r="AB87" s="2" t="s">
        <v>105</v>
      </c>
      <c r="AC87" s="4">
        <f>0.6*AC85^2</f>
        <v>2357.9931963328736</v>
      </c>
      <c r="AD87" s="3" t="s">
        <v>29</v>
      </c>
      <c r="AE87" s="20"/>
    </row>
    <row r="88" spans="1:31" x14ac:dyDescent="0.35">
      <c r="A88" s="28"/>
      <c r="B88" s="2" t="s">
        <v>19</v>
      </c>
      <c r="C88" s="4">
        <f>IF(C85&gt;10,IF(F43&lt;16,3*SQRT(F43)/4,3),IF(F43&gt;12,6,3*SQRT(F43)/4))</f>
        <v>3</v>
      </c>
      <c r="D88" s="3"/>
      <c r="E88" s="20"/>
      <c r="F88" s="3"/>
      <c r="G88" s="2" t="s">
        <v>19</v>
      </c>
      <c r="H88" s="4">
        <f>IF(H85&gt;10,IF(F43&lt;16,3*SQRT(F43)/4,3),IF(F43&gt;12,6,3*SQRT(F43)/4))</f>
        <v>3</v>
      </c>
      <c r="I88" s="3"/>
      <c r="J88" s="3"/>
      <c r="K88" s="28"/>
      <c r="L88" s="2" t="s">
        <v>19</v>
      </c>
      <c r="M88" s="4">
        <f>IF(M85&gt;10,IF(F43&lt;16,3*SQRT(F43)/4,3),IF(F43&gt;12,6,3*SQRT(F43)/4))</f>
        <v>3</v>
      </c>
      <c r="N88" s="3"/>
      <c r="O88" s="20"/>
      <c r="Q88" s="28"/>
      <c r="R88" s="2" t="s">
        <v>19</v>
      </c>
      <c r="S88" s="4">
        <f>IF(S85&gt;10,IF(F43&lt;16,3*SQRT(F43)/4,3),IF(F43&gt;12,6,3*SQRT(F43)/4))</f>
        <v>3</v>
      </c>
      <c r="T88" s="3"/>
      <c r="U88" s="3"/>
      <c r="V88" s="28"/>
      <c r="W88" s="2" t="s">
        <v>19</v>
      </c>
      <c r="X88" s="4">
        <f>IF(X85&gt;10,IF(F43&lt;16,3*SQRT(F43)/4,3),IF(F43&gt;12,6,3*SQRT(F43)/4))</f>
        <v>3</v>
      </c>
      <c r="Y88" s="3"/>
      <c r="Z88" s="3"/>
      <c r="AA88" s="28"/>
      <c r="AB88" s="2" t="s">
        <v>19</v>
      </c>
      <c r="AC88" s="4">
        <f>IF(AC85&gt;10,IF(F43&lt;16,3*SQRT(F43)/4,3),IF(F43&gt;12,6,3*SQRT(F43)/4))</f>
        <v>3</v>
      </c>
      <c r="AD88" s="3"/>
      <c r="AE88" s="20"/>
    </row>
    <row r="89" spans="1:31" x14ac:dyDescent="0.35">
      <c r="A89" s="28"/>
      <c r="B89" s="2" t="s">
        <v>20</v>
      </c>
      <c r="C89" s="3">
        <f>IF(C85&lt;10,IF(F43&gt;12,1.2,0.6),0.6)</f>
        <v>0.6</v>
      </c>
      <c r="D89" s="3"/>
      <c r="E89" s="20"/>
      <c r="F89" s="3"/>
      <c r="G89" s="2" t="s">
        <v>20</v>
      </c>
      <c r="H89" s="3">
        <f>IF(H85&lt;10,IF(F43&gt;12,1.2,0.6),0.6)</f>
        <v>0.6</v>
      </c>
      <c r="I89" s="3"/>
      <c r="J89" s="3"/>
      <c r="K89" s="28"/>
      <c r="L89" s="2" t="s">
        <v>20</v>
      </c>
      <c r="M89" s="3">
        <f>IF(M85&lt;10,IF(F43&gt;12,1.2,0.6),0.6)</f>
        <v>0.6</v>
      </c>
      <c r="N89" s="3"/>
      <c r="O89" s="20"/>
      <c r="Q89" s="28"/>
      <c r="R89" s="2" t="s">
        <v>20</v>
      </c>
      <c r="S89" s="3">
        <f>IF(S85&lt;10,IF(F43&gt;12,1.2,0.6),0.6)</f>
        <v>0.6</v>
      </c>
      <c r="T89" s="3"/>
      <c r="U89" s="3"/>
      <c r="V89" s="28"/>
      <c r="W89" s="2" t="s">
        <v>20</v>
      </c>
      <c r="X89" s="3">
        <f>IF(X85&lt;10,IF(F43&gt;12,1.2,0.6),0.6)</f>
        <v>0.6</v>
      </c>
      <c r="Y89" s="3"/>
      <c r="Z89" s="3"/>
      <c r="AA89" s="28"/>
      <c r="AB89" s="2" t="s">
        <v>20</v>
      </c>
      <c r="AC89" s="3">
        <f>IF(AC85&lt;10,IF(F43&gt;12,1.2,0.6),0.6)</f>
        <v>0.6</v>
      </c>
      <c r="AD89" s="3"/>
      <c r="AE89" s="20"/>
    </row>
    <row r="90" spans="1:31" x14ac:dyDescent="0.35">
      <c r="A90" s="28"/>
      <c r="B90" s="3"/>
      <c r="C90" s="3"/>
      <c r="D90" s="3"/>
      <c r="E90" s="20"/>
      <c r="F90" s="3"/>
      <c r="G90" s="3"/>
      <c r="H90" s="3"/>
      <c r="I90" s="3"/>
      <c r="J90" s="3"/>
      <c r="K90" s="28"/>
      <c r="L90" s="3"/>
      <c r="M90" s="3"/>
      <c r="N90" s="3"/>
      <c r="O90" s="20"/>
      <c r="Q90" s="28"/>
      <c r="R90" s="2"/>
      <c r="S90" s="3"/>
      <c r="T90" s="3"/>
      <c r="U90" s="3"/>
      <c r="V90" s="28"/>
      <c r="W90" s="2"/>
      <c r="X90" s="3"/>
      <c r="Y90" s="3"/>
      <c r="Z90" s="3"/>
      <c r="AA90" s="28"/>
      <c r="AB90" s="2"/>
      <c r="AC90" s="3"/>
      <c r="AD90" s="3"/>
      <c r="AE90" s="20"/>
    </row>
    <row r="91" spans="1:31" ht="17.5" x14ac:dyDescent="0.45">
      <c r="A91" s="7"/>
      <c r="B91" s="2" t="s">
        <v>108</v>
      </c>
      <c r="C91" s="21">
        <f>C89*$E$46*($B$7*25.4/1000)^2/($B$10*1.48816)</f>
        <v>1.2788417431872788E-3</v>
      </c>
      <c r="D91" s="3"/>
      <c r="E91" s="38" t="str">
        <f>IF(C91&lt;$B$18, "OK","Bad")</f>
        <v>OK</v>
      </c>
      <c r="F91" s="3"/>
      <c r="G91" s="2" t="s">
        <v>108</v>
      </c>
      <c r="H91" s="21">
        <f>H89*$E$46*($B$7*25.4/1000)^2/($B$10*1.48816)</f>
        <v>1.2788417431872788E-3</v>
      </c>
      <c r="I91" s="3"/>
      <c r="J91" s="22" t="str">
        <f>IF(H91&lt;$B$18, "OK","Bad")</f>
        <v>OK</v>
      </c>
      <c r="K91" s="28"/>
      <c r="L91" s="2" t="s">
        <v>108</v>
      </c>
      <c r="M91" s="21">
        <f>M89*$E$46*($B$7*25.4/1000)^2/($B$10*1.48816)</f>
        <v>1.2788417431872788E-3</v>
      </c>
      <c r="O91" s="38" t="str">
        <f>IF(M91&lt;$B$18, "OK","Bad")</f>
        <v>OK</v>
      </c>
      <c r="Q91" s="28"/>
      <c r="R91" s="2" t="s">
        <v>108</v>
      </c>
      <c r="S91" s="21">
        <f>S89*E46*($B$7*25.4/1000)^2/($B$10*1.48816)</f>
        <v>1.2788417431872788E-3</v>
      </c>
      <c r="T91" s="3"/>
      <c r="U91" s="22" t="str">
        <f>IF(S91&lt;$B$18, "OK","Bad")</f>
        <v>OK</v>
      </c>
      <c r="V91" s="28"/>
      <c r="W91" s="2" t="s">
        <v>108</v>
      </c>
      <c r="X91" s="21">
        <f>X89*E46*($B$7*25.4/1000)^2/($B$10*1.48816)</f>
        <v>1.2788417431872788E-3</v>
      </c>
      <c r="Y91" s="3"/>
      <c r="Z91" s="22" t="str">
        <f>IF(X91&lt;$B$18, "OK","Bad")</f>
        <v>OK</v>
      </c>
      <c r="AA91" s="28"/>
      <c r="AB91" s="2" t="s">
        <v>108</v>
      </c>
      <c r="AC91" s="21">
        <f>AC89*E46*($B$7*25.4/1000)^2/($B$10*1.48816)</f>
        <v>1.2788417431872788E-3</v>
      </c>
      <c r="AD91" s="3"/>
      <c r="AE91" s="38" t="str">
        <f>IF(AC91&lt;$B$18, "OK","Bad")</f>
        <v>OK</v>
      </c>
    </row>
    <row r="92" spans="1:31" x14ac:dyDescent="0.35">
      <c r="A92" s="7"/>
      <c r="E92" s="8"/>
      <c r="K92" s="7"/>
      <c r="O92" s="8"/>
      <c r="Q92" s="28"/>
      <c r="R92" s="3"/>
      <c r="S92" s="3"/>
      <c r="T92" s="3"/>
      <c r="U92" s="3"/>
      <c r="V92" s="28"/>
      <c r="W92" s="3"/>
      <c r="X92" s="3"/>
      <c r="Y92" s="3"/>
      <c r="Z92" s="3"/>
      <c r="AA92" s="28"/>
      <c r="AB92" s="3"/>
      <c r="AC92" s="3"/>
      <c r="AD92" s="3"/>
      <c r="AE92" s="20"/>
    </row>
    <row r="93" spans="1:31" ht="16.5" x14ac:dyDescent="0.45">
      <c r="A93" s="28"/>
      <c r="B93" s="11" t="s">
        <v>80</v>
      </c>
      <c r="C93" s="4">
        <f>IF($B$18&lt;C91,0,(C88*C87*($B$7*25.4/1000))/(SQRT(F43)*SQRT($B$18-C91)))</f>
        <v>439.88061299527652</v>
      </c>
      <c r="D93" s="3" t="s">
        <v>21</v>
      </c>
      <c r="E93" s="20"/>
      <c r="F93" s="3"/>
      <c r="G93" s="11" t="s">
        <v>80</v>
      </c>
      <c r="H93" s="4">
        <f>IF($B$18&lt;H91,0,(H88*H87*($B$7*25.4/1000))/(SQRT(F43)*SQRT($B$18-H91)))</f>
        <v>930.65650352719615</v>
      </c>
      <c r="I93" s="3" t="s">
        <v>21</v>
      </c>
      <c r="J93" s="3"/>
      <c r="K93" s="28"/>
      <c r="L93" s="11" t="s">
        <v>80</v>
      </c>
      <c r="M93" s="4">
        <f>IF($B$18&lt;M91,0,(M88*M87*($B$7*25.4/1000))/(SQRT(F43)*SQRT($B$18-M91)))</f>
        <v>4120.1693636610817</v>
      </c>
      <c r="N93" s="3" t="s">
        <v>21</v>
      </c>
      <c r="O93" s="20"/>
      <c r="Q93" s="28"/>
      <c r="R93" s="11" t="s">
        <v>80</v>
      </c>
      <c r="S93" s="4">
        <f>IF($B$18&lt;S91,0,(S88*S87*($B$7*25.4/1000))/(SQRT(F43)*SQRT($B$18-S91)))</f>
        <v>835.18804044576132</v>
      </c>
      <c r="T93" s="3" t="s">
        <v>21</v>
      </c>
      <c r="U93" s="3"/>
      <c r="V93" s="28"/>
      <c r="W93" s="11" t="s">
        <v>80</v>
      </c>
      <c r="X93" s="4">
        <f>IF($B$18&lt;X91,0,(X88*X87*($B$7*25.4/1000))/(SQRT(F43)*SQRT($B$18-X91)))</f>
        <v>1767.0094078852458</v>
      </c>
      <c r="Y93" s="3" t="s">
        <v>21</v>
      </c>
      <c r="Z93" s="3"/>
      <c r="AA93" s="28"/>
      <c r="AB93" s="11" t="s">
        <v>80</v>
      </c>
      <c r="AC93" s="4">
        <f>IF($B$18&lt;AC91,0,(AC88*AC87*($B$7*25.4/1000))/(SQRT(F43)*SQRT($B$18-AC91)))</f>
        <v>5161.943449327101</v>
      </c>
      <c r="AD93" s="3" t="s">
        <v>21</v>
      </c>
      <c r="AE93" s="20"/>
    </row>
    <row r="94" spans="1:31" x14ac:dyDescent="0.35">
      <c r="A94" s="28"/>
      <c r="B94" s="3"/>
      <c r="C94" s="3"/>
      <c r="D94" s="3"/>
      <c r="E94" s="20"/>
      <c r="F94" s="3"/>
      <c r="G94" s="3"/>
      <c r="H94" s="3"/>
      <c r="I94" s="3"/>
      <c r="J94" s="3"/>
      <c r="K94" s="28"/>
      <c r="L94" s="3"/>
      <c r="M94" s="3"/>
      <c r="N94" s="3"/>
      <c r="O94" s="20"/>
      <c r="Q94" s="28"/>
      <c r="R94" s="3"/>
      <c r="S94" s="3"/>
      <c r="T94" s="3"/>
      <c r="U94" s="3"/>
      <c r="V94" s="28"/>
      <c r="W94" s="3"/>
      <c r="X94" s="3"/>
      <c r="Y94" s="3"/>
      <c r="Z94" s="3"/>
      <c r="AA94" s="28"/>
      <c r="AB94" s="3"/>
      <c r="AC94" s="3"/>
      <c r="AD94" s="3"/>
      <c r="AE94" s="20"/>
    </row>
    <row r="95" spans="1:31" ht="16.5" x14ac:dyDescent="0.35">
      <c r="A95" s="7"/>
      <c r="B95" s="78" t="s">
        <v>126</v>
      </c>
      <c r="C95" s="4">
        <f>IF((MAX(IF($V$29="Yes",$V$30,0),IF($W$29="Yes",$W$30,0),IF($Y$29="Yes",$Y$30,0)))/C82&gt;1,1,(MAX(IF($V$29="Yes",$V$30,0),IF($W$29="Yes",$W$30,0),IF($Y$29="Yes",$Y$30,0)))/C82)</f>
        <v>1</v>
      </c>
      <c r="D95" s="3"/>
      <c r="E95" s="20"/>
      <c r="G95" s="78" t="s">
        <v>126</v>
      </c>
      <c r="H95" s="4">
        <f>IF((MAX(IF($V$29="Yes",$V$30,0),IF($W$29="Yes",$W$30,0),IF($Y$29="Yes",$Y$30,0)))/H82&gt;1,1,(MAX(IF($V$29="Yes",$V$30,0),IF($W$29="Yes",$W$30,0),IF($Y$29="Yes",$Y$30,0)))/H82)</f>
        <v>1</v>
      </c>
      <c r="I95" s="3"/>
      <c r="J95" s="20"/>
      <c r="L95" s="78" t="s">
        <v>126</v>
      </c>
      <c r="M95" s="4">
        <f>IF((MAX(IF($V$29="Yes",$V$30,0),IF($W$29="Yes",$W$30,0),IF($Y$29="Yes",$Y$30,0)))/M82&gt;1,1,(MAX(IF($V$29="Yes",$V$30,0),IF($W$29="Yes",$W$30,0),IF($Y$29="Yes",$Y$30,0)))/M82)</f>
        <v>1</v>
      </c>
      <c r="N95" s="3"/>
      <c r="O95" s="20"/>
      <c r="Q95" s="28"/>
      <c r="R95" s="78" t="s">
        <v>126</v>
      </c>
      <c r="S95" s="4">
        <f>IF((MAX(IF($V$36="Yes",$V$37,0),IF($W$36="Yes",$W$37,0),IF($Y$36="Yes",$Y$37,0)))/S82&gt;1,1,(MAX(IF($V$36="Yes",$V$37,0),IF($W$36="Yes",$W$37,0),IF($Y$36="Yes",$Y$37,0)))/S82)</f>
        <v>0.79313814061442134</v>
      </c>
      <c r="T95" s="3"/>
      <c r="U95" s="20"/>
      <c r="V95" s="28"/>
      <c r="W95" s="78" t="s">
        <v>126</v>
      </c>
      <c r="X95" s="4">
        <f>IF((MAX(IF($V$36="Yes",$V$37,0),IF($W$36="Yes",$W$37,0),IF($Y$36="Yes",$Y$37,0)))/X82&gt;1,1,(MAX(IF($V$36="Yes",$V$37,0),IF($W$36="Yes",$W$37,0),IF($Y$36="Yes",$Y$37,0)))/X82)</f>
        <v>0.54528247167241473</v>
      </c>
      <c r="Y95" s="3"/>
      <c r="Z95" s="20"/>
      <c r="AA95" s="28"/>
      <c r="AB95" s="78" t="s">
        <v>126</v>
      </c>
      <c r="AC95" s="4">
        <f>IF((MAX(IF($V$36="Yes",$V$37,0),IF($W$36="Yes",$W$37,0),IF($Y$36="Yes",$Y$37,0)))/AC82&gt;1,1,(MAX(IF($V$36="Yes",$V$37,0),IF($W$36="Yes",$W$37,0),IF($Y$36="Yes",$Y$37,0)))/AC82)</f>
        <v>0.31903207387207738</v>
      </c>
      <c r="AD95" s="3"/>
      <c r="AE95" s="20"/>
    </row>
    <row r="96" spans="1:31" x14ac:dyDescent="0.35">
      <c r="A96" s="82"/>
      <c r="B96" s="80" t="s">
        <v>127</v>
      </c>
      <c r="C96" s="84">
        <v>50</v>
      </c>
      <c r="E96" s="86" t="s">
        <v>131</v>
      </c>
      <c r="F96" s="81"/>
      <c r="G96" s="80" t="s">
        <v>127</v>
      </c>
      <c r="H96" s="84">
        <v>50</v>
      </c>
      <c r="J96" s="86" t="s">
        <v>131</v>
      </c>
      <c r="K96" s="82"/>
      <c r="L96" s="80" t="s">
        <v>127</v>
      </c>
      <c r="M96" s="84">
        <v>50</v>
      </c>
      <c r="O96" s="86" t="s">
        <v>131</v>
      </c>
      <c r="Q96" s="82"/>
      <c r="R96" s="80" t="s">
        <v>127</v>
      </c>
      <c r="S96" s="84">
        <v>2.8</v>
      </c>
      <c r="U96" s="86" t="s">
        <v>131</v>
      </c>
      <c r="V96" s="82"/>
      <c r="W96" s="80" t="s">
        <v>127</v>
      </c>
      <c r="X96" s="84">
        <v>1.5</v>
      </c>
      <c r="Z96" s="86" t="s">
        <v>131</v>
      </c>
      <c r="AA96" s="82"/>
      <c r="AB96" s="80" t="s">
        <v>127</v>
      </c>
      <c r="AC96" s="84">
        <v>1.2</v>
      </c>
      <c r="AE96" s="86" t="s">
        <v>131</v>
      </c>
    </row>
    <row r="97" spans="1:31" x14ac:dyDescent="0.35">
      <c r="A97" s="28"/>
      <c r="B97" s="2" t="s">
        <v>22</v>
      </c>
      <c r="C97" s="4">
        <f>(C96*C93/1000)</f>
        <v>21.994030649763825</v>
      </c>
      <c r="D97" s="3" t="s">
        <v>23</v>
      </c>
      <c r="E97" s="20"/>
      <c r="F97" s="3"/>
      <c r="G97" s="2" t="s">
        <v>22</v>
      </c>
      <c r="H97" s="4">
        <f>(H96*H93/1000)</f>
        <v>46.532825176359808</v>
      </c>
      <c r="I97" s="3" t="s">
        <v>23</v>
      </c>
      <c r="J97" s="3"/>
      <c r="K97" s="28"/>
      <c r="L97" s="2" t="s">
        <v>22</v>
      </c>
      <c r="M97" s="4">
        <f>(M96*M93/1000)</f>
        <v>206.00846818305411</v>
      </c>
      <c r="N97" s="3" t="s">
        <v>23</v>
      </c>
      <c r="O97" s="20"/>
      <c r="Q97" s="51"/>
      <c r="R97" s="2" t="s">
        <v>22</v>
      </c>
      <c r="S97" s="4">
        <f>(S96*S93/1000)</f>
        <v>2.3385265132481314</v>
      </c>
      <c r="T97" s="3" t="s">
        <v>23</v>
      </c>
      <c r="U97" s="50"/>
      <c r="V97" s="51"/>
      <c r="W97" s="2" t="s">
        <v>22</v>
      </c>
      <c r="X97" s="4">
        <f>(X96*X93/1000)</f>
        <v>2.650514111827869</v>
      </c>
      <c r="Y97" s="3" t="s">
        <v>23</v>
      </c>
      <c r="Z97" s="50"/>
      <c r="AA97" s="51"/>
      <c r="AB97" s="2" t="s">
        <v>22</v>
      </c>
      <c r="AC97" s="4">
        <f>(AC96*AC93/1000)</f>
        <v>6.1943321391925208</v>
      </c>
      <c r="AD97" s="3" t="s">
        <v>23</v>
      </c>
      <c r="AE97" s="20"/>
    </row>
    <row r="98" spans="1:31" ht="15" thickBot="1" x14ac:dyDescent="0.4">
      <c r="A98" s="28"/>
      <c r="B98" s="3"/>
      <c r="C98" s="3"/>
      <c r="D98" s="3"/>
      <c r="E98" s="20"/>
      <c r="F98" s="3"/>
      <c r="G98" s="3"/>
      <c r="H98" s="3"/>
      <c r="I98" s="3"/>
      <c r="J98" s="3"/>
      <c r="K98" s="28"/>
      <c r="L98" s="3"/>
      <c r="M98" s="3"/>
      <c r="N98" s="3"/>
      <c r="O98" s="20"/>
      <c r="Q98" s="51"/>
      <c r="R98" s="3"/>
      <c r="S98" s="3"/>
      <c r="T98" s="3"/>
      <c r="U98" s="50"/>
      <c r="V98" s="51"/>
      <c r="W98" s="3"/>
      <c r="X98" s="3"/>
      <c r="Y98" s="3"/>
      <c r="Z98" s="50"/>
      <c r="AA98" s="51"/>
      <c r="AB98" s="3"/>
      <c r="AC98" s="3"/>
      <c r="AD98" s="3"/>
      <c r="AE98" s="20"/>
    </row>
    <row r="99" spans="1:31" ht="15" thickTop="1" x14ac:dyDescent="0.35">
      <c r="A99" s="28"/>
      <c r="B99" s="64" t="s">
        <v>24</v>
      </c>
      <c r="C99" s="65">
        <f>C97</f>
        <v>21.994030649763825</v>
      </c>
      <c r="D99" s="66" t="s">
        <v>23</v>
      </c>
      <c r="E99" s="20"/>
      <c r="F99" s="3"/>
      <c r="G99" s="64" t="s">
        <v>24</v>
      </c>
      <c r="H99" s="65">
        <f>H97</f>
        <v>46.532825176359808</v>
      </c>
      <c r="I99" s="66" t="s">
        <v>23</v>
      </c>
      <c r="J99" s="3"/>
      <c r="K99" s="28"/>
      <c r="L99" s="64" t="s">
        <v>24</v>
      </c>
      <c r="M99" s="65">
        <f>M97</f>
        <v>206.00846818305411</v>
      </c>
      <c r="N99" s="66" t="s">
        <v>23</v>
      </c>
      <c r="O99" s="20"/>
      <c r="Q99" s="51"/>
      <c r="R99" s="64" t="s">
        <v>24</v>
      </c>
      <c r="S99" s="65">
        <f>S97</f>
        <v>2.3385265132481314</v>
      </c>
      <c r="T99" s="66" t="s">
        <v>23</v>
      </c>
      <c r="U99" s="50"/>
      <c r="V99" s="51"/>
      <c r="W99" s="64" t="s">
        <v>24</v>
      </c>
      <c r="X99" s="65">
        <f>X97</f>
        <v>2.650514111827869</v>
      </c>
      <c r="Y99" s="66" t="s">
        <v>23</v>
      </c>
      <c r="Z99" s="50"/>
      <c r="AA99" s="51"/>
      <c r="AB99" s="64" t="s">
        <v>24</v>
      </c>
      <c r="AC99" s="65">
        <f>AC97</f>
        <v>6.1943321391925208</v>
      </c>
      <c r="AD99" s="66" t="s">
        <v>23</v>
      </c>
      <c r="AE99" s="20"/>
    </row>
    <row r="100" spans="1:31" x14ac:dyDescent="0.35">
      <c r="A100" s="28"/>
      <c r="B100" s="67" t="s">
        <v>25</v>
      </c>
      <c r="C100" s="4">
        <f>(C97*($B$14*25.4/1000)^2/8)</f>
        <v>574.36893082436416</v>
      </c>
      <c r="D100" s="68" t="s">
        <v>33</v>
      </c>
      <c r="E100" s="20"/>
      <c r="F100" s="3"/>
      <c r="G100" s="67" t="s">
        <v>25</v>
      </c>
      <c r="H100" s="4">
        <f>(H97*($B$14*25.4/1000)^2/8)</f>
        <v>1215.1937710003072</v>
      </c>
      <c r="I100" s="68" t="s">
        <v>33</v>
      </c>
      <c r="J100" s="3"/>
      <c r="K100" s="28"/>
      <c r="L100" s="67" t="s">
        <v>25</v>
      </c>
      <c r="M100" s="4">
        <f>((M97*($B$14*25.4/1000)^2/8))/3</f>
        <v>1793.2875438687333</v>
      </c>
      <c r="N100" s="68" t="s">
        <v>33</v>
      </c>
      <c r="O100" s="20"/>
      <c r="Q100" s="51"/>
      <c r="R100" s="67" t="s">
        <v>25</v>
      </c>
      <c r="S100" s="4">
        <f>(S97*($B$14*25.4/1000)^2/8)</f>
        <v>61.070069170481077</v>
      </c>
      <c r="T100" s="68" t="s">
        <v>33</v>
      </c>
      <c r="U100" s="50"/>
      <c r="V100" s="51"/>
      <c r="W100" s="67" t="s">
        <v>25</v>
      </c>
      <c r="X100" s="4">
        <f>(X97*($B$14*25.4/1000)^2/8)</f>
        <v>69.21755183431145</v>
      </c>
      <c r="Y100" s="68" t="s">
        <v>33</v>
      </c>
      <c r="Z100" s="50"/>
      <c r="AA100" s="51"/>
      <c r="AB100" s="67" t="s">
        <v>25</v>
      </c>
      <c r="AC100" s="4">
        <f>((AC97*($B$14*25.4/1000)^2/8))/3</f>
        <v>53.921175016597964</v>
      </c>
      <c r="AD100" s="68" t="s">
        <v>33</v>
      </c>
      <c r="AE100" s="20"/>
    </row>
    <row r="101" spans="1:31" ht="15" thickBot="1" x14ac:dyDescent="0.4">
      <c r="A101" s="28"/>
      <c r="B101" s="69" t="s">
        <v>26</v>
      </c>
      <c r="C101" s="70">
        <f>(C100*1000*1000)/($B$9*25.4^3)</f>
        <v>500.07957406480818</v>
      </c>
      <c r="D101" s="71" t="s">
        <v>35</v>
      </c>
      <c r="E101" s="20"/>
      <c r="F101" s="3"/>
      <c r="G101" s="69" t="s">
        <v>26</v>
      </c>
      <c r="H101" s="70">
        <f>(H100*1000*1000)/($B$9*25.4^3)</f>
        <v>1058.0195947156267</v>
      </c>
      <c r="I101" s="71" t="s">
        <v>35</v>
      </c>
      <c r="J101" s="3"/>
      <c r="K101" s="28"/>
      <c r="L101" s="69" t="s">
        <v>26</v>
      </c>
      <c r="M101" s="70">
        <f>(M100*1000*1000)/($B$9*25.4^3)</f>
        <v>1561.3422366465534</v>
      </c>
      <c r="N101" s="71" t="s">
        <v>35</v>
      </c>
      <c r="O101" s="20"/>
      <c r="Q101" s="51"/>
      <c r="R101" s="69" t="s">
        <v>26</v>
      </c>
      <c r="S101" s="70">
        <f>(S100*1000*1000)/($B$9*25.4^3)</f>
        <v>53.171215467818051</v>
      </c>
      <c r="T101" s="71" t="s">
        <v>35</v>
      </c>
      <c r="U101" s="50"/>
      <c r="V101" s="51"/>
      <c r="W101" s="69" t="s">
        <v>26</v>
      </c>
      <c r="X101" s="70">
        <f>(X100*1000*1000)/($B$9*25.4^3)</f>
        <v>60.264895925744163</v>
      </c>
      <c r="Y101" s="71" t="s">
        <v>35</v>
      </c>
      <c r="Z101" s="50"/>
      <c r="AA101" s="51"/>
      <c r="AB101" s="69" t="s">
        <v>26</v>
      </c>
      <c r="AC101" s="70">
        <f>(AC100*1000*1000)/($B$9*25.4^3)</f>
        <v>46.946965248752036</v>
      </c>
      <c r="AD101" s="71" t="s">
        <v>35</v>
      </c>
      <c r="AE101" s="20"/>
    </row>
    <row r="102" spans="1:31" ht="15" thickTop="1" x14ac:dyDescent="0.35">
      <c r="A102" s="29"/>
      <c r="B102" s="23"/>
      <c r="C102" s="23"/>
      <c r="D102" s="23"/>
      <c r="E102" s="24"/>
      <c r="F102" s="23"/>
      <c r="G102" s="23"/>
      <c r="H102" s="23"/>
      <c r="I102" s="23"/>
      <c r="J102" s="23"/>
      <c r="K102" s="29"/>
      <c r="L102" s="23"/>
      <c r="M102" s="23"/>
      <c r="N102" s="23"/>
      <c r="O102" s="24"/>
      <c r="Q102" s="29"/>
      <c r="R102" s="23"/>
      <c r="S102" s="23"/>
      <c r="T102" s="23"/>
      <c r="U102" s="23"/>
      <c r="V102" s="29"/>
      <c r="W102" s="23"/>
      <c r="X102" s="23"/>
      <c r="Y102" s="23"/>
      <c r="Z102" s="23"/>
      <c r="AA102" s="29"/>
      <c r="AB102" s="23"/>
      <c r="AC102" s="23"/>
      <c r="AD102" s="23"/>
      <c r="AE102" s="24"/>
    </row>
  </sheetData>
  <mergeCells count="3">
    <mergeCell ref="B6:D6"/>
    <mergeCell ref="W35:X35"/>
    <mergeCell ref="W28:X28"/>
  </mergeCells>
  <printOptions horizontalCentered="1"/>
  <pageMargins left="0.70866141732283472" right="0.70866141732283472" top="0.74803149606299213" bottom="0.74803149606299213" header="0.31496062992125984" footer="0.31496062992125984"/>
  <pageSetup paperSize="17" scale="42" orientation="landscape" r:id="rId1"/>
  <headerFooter>
    <oddFooter>&amp;L&amp;A&amp;C&amp;F&amp;R&amp;D,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77F3-7B8D-4B7A-94C7-66B8DD5C6C87}">
  <sheetPr>
    <pageSetUpPr fitToPage="1"/>
  </sheetPr>
  <dimension ref="A1:AE102"/>
  <sheetViews>
    <sheetView tabSelected="1" topLeftCell="A55" zoomScaleNormal="100" workbookViewId="0">
      <selection activeCell="B25" sqref="B25:J50"/>
    </sheetView>
  </sheetViews>
  <sheetFormatPr defaultRowHeight="14.5" x14ac:dyDescent="0.35"/>
  <cols>
    <col min="1" max="1" width="8.7265625" customWidth="1"/>
    <col min="2" max="2" width="10.7265625" customWidth="1"/>
    <col min="3" max="6" width="8.7265625" customWidth="1"/>
    <col min="7" max="7" width="10.7265625" customWidth="1"/>
    <col min="8" max="11" width="8.7265625" customWidth="1"/>
    <col min="12" max="12" width="10.7265625" customWidth="1"/>
    <col min="13" max="15" width="8.7265625" customWidth="1"/>
    <col min="17" max="17" width="8.7265625" customWidth="1"/>
    <col min="18" max="18" width="10.7265625" customWidth="1"/>
    <col min="19" max="22" width="8.7265625" customWidth="1"/>
    <col min="23" max="23" width="10.7265625" customWidth="1"/>
    <col min="24" max="27" width="8.7265625" customWidth="1"/>
    <col min="28" max="28" width="10.7265625" customWidth="1"/>
    <col min="29" max="31" width="8.7265625" customWidth="1"/>
  </cols>
  <sheetData>
    <row r="1" spans="1:25" x14ac:dyDescent="0.35">
      <c r="B1" s="3"/>
      <c r="C1" s="3"/>
      <c r="D1" s="3"/>
      <c r="E1" s="3"/>
      <c r="F1" s="14" t="s">
        <v>137</v>
      </c>
      <c r="G1" s="3"/>
      <c r="H1" s="3"/>
      <c r="I1" s="3"/>
      <c r="J1" s="3"/>
      <c r="K1" s="3"/>
    </row>
    <row r="2" spans="1:25" x14ac:dyDescent="0.35">
      <c r="B2" s="3"/>
      <c r="C2" s="3"/>
      <c r="D2" s="3"/>
      <c r="E2" s="3"/>
      <c r="F2" s="14" t="s">
        <v>28</v>
      </c>
      <c r="G2" s="3"/>
      <c r="H2" s="3"/>
      <c r="I2" s="3"/>
      <c r="J2" s="3"/>
      <c r="K2" s="3"/>
    </row>
    <row r="3" spans="1:25" x14ac:dyDescent="0.35">
      <c r="C3" s="3"/>
      <c r="D3" s="3"/>
      <c r="E3" s="3"/>
      <c r="F3" s="3"/>
      <c r="G3" s="3"/>
      <c r="H3" s="3"/>
      <c r="I3" s="3"/>
      <c r="J3" s="3"/>
      <c r="K3" s="3"/>
    </row>
    <row r="4" spans="1:25" ht="15" thickBot="1" x14ac:dyDescent="0.4">
      <c r="A4" s="15" t="s">
        <v>0</v>
      </c>
      <c r="B4" s="16"/>
      <c r="C4" s="3"/>
      <c r="D4" s="3"/>
      <c r="E4" s="3"/>
      <c r="F4" s="3"/>
      <c r="G4" s="3"/>
      <c r="H4" s="3"/>
      <c r="I4" s="3"/>
      <c r="J4" s="3"/>
      <c r="K4" s="3"/>
    </row>
    <row r="5" spans="1:25" x14ac:dyDescent="0.35">
      <c r="C5" s="3"/>
      <c r="D5" s="3"/>
      <c r="E5" s="3"/>
      <c r="G5" s="3"/>
      <c r="H5" s="3"/>
      <c r="I5" s="3"/>
      <c r="J5" s="3"/>
      <c r="K5" s="3"/>
    </row>
    <row r="6" spans="1:25" x14ac:dyDescent="0.35">
      <c r="A6" s="3" t="s">
        <v>1</v>
      </c>
      <c r="B6" s="93" t="s">
        <v>40</v>
      </c>
      <c r="C6" s="93"/>
      <c r="D6" s="93"/>
      <c r="E6" s="3"/>
      <c r="F6" s="3"/>
      <c r="G6" s="2" t="s">
        <v>47</v>
      </c>
      <c r="H6" s="6">
        <v>1</v>
      </c>
      <c r="I6" s="2" t="s">
        <v>47</v>
      </c>
      <c r="J6" s="6">
        <v>1</v>
      </c>
      <c r="K6" s="2" t="s">
        <v>47</v>
      </c>
      <c r="L6" s="6">
        <v>2</v>
      </c>
      <c r="R6" t="s">
        <v>41</v>
      </c>
      <c r="T6" s="3" t="s">
        <v>60</v>
      </c>
      <c r="U6" s="3"/>
      <c r="V6" s="3"/>
      <c r="W6" s="3"/>
      <c r="X6" s="3"/>
      <c r="Y6" s="3"/>
    </row>
    <row r="7" spans="1:25" x14ac:dyDescent="0.35">
      <c r="A7" s="2" t="s">
        <v>2</v>
      </c>
      <c r="B7" s="19">
        <f>406.4/25.4</f>
        <v>16</v>
      </c>
      <c r="C7" s="3" t="s">
        <v>115</v>
      </c>
      <c r="D7" s="3"/>
      <c r="E7" s="3"/>
      <c r="F7" s="3"/>
      <c r="G7" s="5" t="s">
        <v>4</v>
      </c>
      <c r="H7" s="3"/>
      <c r="I7" s="5" t="s">
        <v>5</v>
      </c>
      <c r="J7" s="5"/>
      <c r="K7" s="5" t="s">
        <v>4</v>
      </c>
      <c r="T7" s="3"/>
    </row>
    <row r="8" spans="1:25" ht="17.5" x14ac:dyDescent="0.45">
      <c r="A8" s="2" t="s">
        <v>3</v>
      </c>
      <c r="B8" s="55">
        <f>PI()*(B7^4-(B7-2*B15)^4)/64</f>
        <v>560.71304597693711</v>
      </c>
      <c r="C8" s="3" t="s">
        <v>71</v>
      </c>
      <c r="D8" s="3"/>
      <c r="E8" s="3"/>
      <c r="F8" s="5" t="s">
        <v>7</v>
      </c>
      <c r="G8" s="19">
        <v>15.4</v>
      </c>
      <c r="H8" s="3"/>
      <c r="I8" s="19">
        <v>22.4</v>
      </c>
      <c r="J8" s="5"/>
      <c r="K8" s="19">
        <v>50</v>
      </c>
      <c r="R8" s="73" t="s">
        <v>51</v>
      </c>
      <c r="S8" t="s">
        <v>52</v>
      </c>
      <c r="U8" s="9" t="s">
        <v>129</v>
      </c>
      <c r="W8" s="3"/>
      <c r="Y8" s="3"/>
    </row>
    <row r="9" spans="1:25" ht="16.5" x14ac:dyDescent="0.35">
      <c r="A9" s="2" t="s">
        <v>6</v>
      </c>
      <c r="B9" s="55">
        <f>B8/(B7/2)</f>
        <v>70.089130747117139</v>
      </c>
      <c r="C9" s="3" t="s">
        <v>72</v>
      </c>
      <c r="D9" s="3"/>
      <c r="E9" s="3"/>
      <c r="G9" s="3" t="s">
        <v>59</v>
      </c>
      <c r="R9" s="73" t="s">
        <v>42</v>
      </c>
      <c r="S9" t="s">
        <v>53</v>
      </c>
      <c r="V9" s="3"/>
      <c r="W9" s="3"/>
      <c r="Y9" s="3"/>
    </row>
    <row r="10" spans="1:25" ht="16.5" x14ac:dyDescent="0.45">
      <c r="A10" s="2" t="s">
        <v>30</v>
      </c>
      <c r="B10" s="55">
        <f>490.0595*B16/12^2</f>
        <v>62.484667642321241</v>
      </c>
      <c r="C10" s="3" t="s">
        <v>8</v>
      </c>
      <c r="D10" s="3"/>
      <c r="E10" s="3"/>
      <c r="R10" s="73" t="s">
        <v>54</v>
      </c>
      <c r="S10" t="s">
        <v>128</v>
      </c>
      <c r="V10" s="3"/>
      <c r="W10" s="3"/>
      <c r="Y10" s="3"/>
    </row>
    <row r="11" spans="1:25" ht="16.5" x14ac:dyDescent="0.35">
      <c r="A11" s="2" t="s">
        <v>31</v>
      </c>
      <c r="B11" s="56">
        <f>B10/12/386</f>
        <v>1.3489781442642755E-2</v>
      </c>
      <c r="C11" s="3" t="s">
        <v>73</v>
      </c>
      <c r="D11" s="3"/>
      <c r="E11" s="3"/>
      <c r="F11" s="1" t="s">
        <v>36</v>
      </c>
      <c r="G11" s="19">
        <v>20</v>
      </c>
      <c r="H11" s="6" t="s">
        <v>18</v>
      </c>
      <c r="I11" s="3"/>
      <c r="J11" s="1" t="s">
        <v>38</v>
      </c>
      <c r="K11" s="19">
        <v>63</v>
      </c>
      <c r="L11" s="6" t="s">
        <v>18</v>
      </c>
      <c r="R11" s="73" t="s">
        <v>32</v>
      </c>
      <c r="S11" t="s">
        <v>43</v>
      </c>
    </row>
    <row r="12" spans="1:25" ht="16.5" x14ac:dyDescent="0.35">
      <c r="A12" s="2" t="s">
        <v>10</v>
      </c>
      <c r="B12" s="57">
        <v>29000000</v>
      </c>
      <c r="C12" s="3" t="s">
        <v>74</v>
      </c>
      <c r="D12" s="3">
        <v>199.95</v>
      </c>
      <c r="E12" s="3"/>
      <c r="F12" s="2" t="s">
        <v>37</v>
      </c>
      <c r="G12" s="63">
        <f>0.6*G11^2</f>
        <v>240</v>
      </c>
      <c r="H12" s="6" t="s">
        <v>119</v>
      </c>
      <c r="I12" s="3"/>
      <c r="J12" s="2" t="s">
        <v>37</v>
      </c>
      <c r="K12" s="63">
        <f>0.6*K11^2</f>
        <v>2381.4</v>
      </c>
      <c r="L12" s="6" t="s">
        <v>119</v>
      </c>
      <c r="R12" s="73"/>
      <c r="V12" s="3"/>
      <c r="W12" s="3"/>
      <c r="Y12" s="3"/>
    </row>
    <row r="13" spans="1:25" x14ac:dyDescent="0.35">
      <c r="A13" s="2"/>
      <c r="B13" s="58"/>
      <c r="C13" s="3"/>
      <c r="D13" s="3"/>
      <c r="H13" s="3"/>
      <c r="I13" s="3"/>
      <c r="R13" s="73" t="s">
        <v>44</v>
      </c>
      <c r="S13" s="10">
        <f>291/2*224.8089431</f>
        <v>32709.70122105</v>
      </c>
      <c r="T13" t="s">
        <v>134</v>
      </c>
      <c r="V13" s="3"/>
      <c r="W13" s="3"/>
      <c r="Y13" s="3"/>
    </row>
    <row r="14" spans="1:25" x14ac:dyDescent="0.35">
      <c r="A14" s="2" t="s">
        <v>11</v>
      </c>
      <c r="B14" s="59">
        <f>14454/25.4</f>
        <v>569.05511811023621</v>
      </c>
      <c r="C14" s="3" t="s">
        <v>113</v>
      </c>
      <c r="D14" s="3"/>
      <c r="I14" s="3"/>
      <c r="J14" s="3"/>
      <c r="K14" s="3"/>
      <c r="R14" s="73" t="s">
        <v>42</v>
      </c>
      <c r="S14" s="43">
        <f>S13*B14^2/(B12*B8*PI()^2)</f>
        <v>6.6000441481675221E-2</v>
      </c>
    </row>
    <row r="15" spans="1:25" x14ac:dyDescent="0.35">
      <c r="A15" s="2" t="s">
        <v>27</v>
      </c>
      <c r="B15" s="60">
        <f>9.5/25.4</f>
        <v>0.37401574803149606</v>
      </c>
      <c r="C15" s="3" t="s">
        <v>114</v>
      </c>
      <c r="D15" s="3"/>
      <c r="K15" s="3"/>
      <c r="U15" s="3"/>
      <c r="V15" s="3"/>
      <c r="W15" s="3"/>
      <c r="Y15" s="3"/>
    </row>
    <row r="16" spans="1:25" ht="16.5" x14ac:dyDescent="0.35">
      <c r="A16" s="2" t="s">
        <v>7</v>
      </c>
      <c r="B16" s="61">
        <f>PI()*(B7^2-(B7-2*B15)^2)/4</f>
        <v>18.360611600212341</v>
      </c>
      <c r="C16" s="3" t="s">
        <v>75</v>
      </c>
      <c r="D16" s="3"/>
      <c r="K16" s="3"/>
      <c r="R16" s="73" t="s">
        <v>44</v>
      </c>
      <c r="S16" s="10">
        <f>2220/2*224.8089431</f>
        <v>249537.92684099998</v>
      </c>
      <c r="T16" t="s">
        <v>45</v>
      </c>
      <c r="U16" s="3"/>
      <c r="V16" s="3"/>
      <c r="W16" s="3"/>
      <c r="Y16" s="3"/>
    </row>
    <row r="17" spans="1:25" x14ac:dyDescent="0.35">
      <c r="B17" s="11"/>
      <c r="R17" s="73" t="s">
        <v>42</v>
      </c>
      <c r="S17" s="43">
        <f>S16*B14^2/(B12*B8*PI()^2)</f>
        <v>0.50350852264370782</v>
      </c>
    </row>
    <row r="18" spans="1:25" x14ac:dyDescent="0.35">
      <c r="A18" s="2" t="s">
        <v>112</v>
      </c>
      <c r="B18" s="19">
        <v>0.01</v>
      </c>
      <c r="C18" t="s">
        <v>133</v>
      </c>
      <c r="F18" s="3" t="s">
        <v>82</v>
      </c>
      <c r="R18" s="73"/>
      <c r="U18" s="3"/>
    </row>
    <row r="19" spans="1:25" x14ac:dyDescent="0.35">
      <c r="A19" s="54" t="s">
        <v>104</v>
      </c>
      <c r="B19" s="49">
        <f>B14*25.4/1000</f>
        <v>14.453999999999999</v>
      </c>
      <c r="C19" s="6" t="s">
        <v>109</v>
      </c>
      <c r="E19" s="48"/>
      <c r="R19" s="73" t="s">
        <v>44</v>
      </c>
      <c r="S19" s="10">
        <f>(2220+430)/2*224.8089431</f>
        <v>297871.84960750001</v>
      </c>
      <c r="T19" t="s">
        <v>48</v>
      </c>
      <c r="U19" s="3"/>
    </row>
    <row r="20" spans="1:25" x14ac:dyDescent="0.35">
      <c r="A20" s="47"/>
      <c r="B20" s="3"/>
      <c r="E20" s="48"/>
      <c r="R20" s="73" t="s">
        <v>42</v>
      </c>
      <c r="S20" s="43">
        <f>S19*B14^2/(B12*B8*PI()^2)</f>
        <v>0.60103494820082248</v>
      </c>
      <c r="U20" s="3"/>
    </row>
    <row r="21" spans="1:25" x14ac:dyDescent="0.35">
      <c r="A21" s="2" t="s">
        <v>34</v>
      </c>
      <c r="B21" s="3" t="s">
        <v>110</v>
      </c>
      <c r="C21" s="3" t="s">
        <v>111</v>
      </c>
      <c r="E21" s="48"/>
      <c r="S21" s="43"/>
      <c r="U21" s="3"/>
    </row>
    <row r="22" spans="1:25" x14ac:dyDescent="0.35">
      <c r="A22" s="47"/>
      <c r="B22" s="3"/>
      <c r="E22" s="48"/>
      <c r="S22" s="43"/>
      <c r="U22" s="3"/>
    </row>
    <row r="23" spans="1:25" ht="15" thickBot="1" x14ac:dyDescent="0.4">
      <c r="A23" s="15" t="s">
        <v>12</v>
      </c>
      <c r="B23" s="16"/>
      <c r="C23" s="3"/>
      <c r="D23" s="3"/>
      <c r="L23" s="3"/>
      <c r="M23" s="3"/>
      <c r="N23" s="3"/>
      <c r="O23" s="3"/>
    </row>
    <row r="24" spans="1:25" x14ac:dyDescent="0.35">
      <c r="I24" s="3"/>
      <c r="J24" s="3"/>
      <c r="K24" s="3"/>
      <c r="L24" s="3"/>
      <c r="M24" s="3"/>
      <c r="N24" s="3"/>
      <c r="O24" s="3"/>
    </row>
    <row r="25" spans="1:25" ht="17.5" x14ac:dyDescent="0.45">
      <c r="B25" s="11" t="s">
        <v>55</v>
      </c>
      <c r="C25" t="s">
        <v>67</v>
      </c>
      <c r="D25" s="3"/>
      <c r="E25" s="3" t="s">
        <v>116</v>
      </c>
      <c r="H25" s="3" t="s">
        <v>59</v>
      </c>
      <c r="M25" s="3"/>
      <c r="N25" s="3"/>
      <c r="W25" s="91" t="s">
        <v>122</v>
      </c>
    </row>
    <row r="27" spans="1:25" ht="16.5" x14ac:dyDescent="0.35">
      <c r="A27" t="s">
        <v>57</v>
      </c>
      <c r="B27" s="11" t="s">
        <v>58</v>
      </c>
      <c r="C27" t="s">
        <v>66</v>
      </c>
      <c r="U27" s="3"/>
      <c r="W27" s="73" t="s">
        <v>121</v>
      </c>
      <c r="X27" s="11">
        <f>K11</f>
        <v>63</v>
      </c>
      <c r="Y27" s="83" t="str">
        <f>L11</f>
        <v>m/s</v>
      </c>
    </row>
    <row r="28" spans="1:25" ht="17.5" x14ac:dyDescent="0.35">
      <c r="B28" s="5" t="s">
        <v>3</v>
      </c>
      <c r="C28" t="s">
        <v>64</v>
      </c>
      <c r="E28" s="14"/>
      <c r="F28" s="14"/>
      <c r="G28" s="14"/>
      <c r="H28" s="3"/>
      <c r="U28" s="77" t="s">
        <v>125</v>
      </c>
      <c r="V28" s="76" t="s">
        <v>123</v>
      </c>
      <c r="W28" s="94" t="s">
        <v>136</v>
      </c>
      <c r="X28" s="94"/>
      <c r="Y28" s="76" t="s">
        <v>124</v>
      </c>
    </row>
    <row r="29" spans="1:25" x14ac:dyDescent="0.35">
      <c r="B29" s="11" t="s">
        <v>11</v>
      </c>
      <c r="C29" t="s">
        <v>63</v>
      </c>
      <c r="G29" s="3"/>
      <c r="N29" s="3"/>
      <c r="V29" s="11" t="str">
        <f>IF(V31&gt;0.75,"Yes","No")</f>
        <v>Yes</v>
      </c>
      <c r="W29" s="11" t="str">
        <f>IF(AND(W31&gt;0.5,V31&lt;0.75),"Yes","No")</f>
        <v>No</v>
      </c>
      <c r="Y29" s="11" t="str">
        <f>IF(Y31&lt;0.5,"Yes","No")</f>
        <v>No</v>
      </c>
    </row>
    <row r="30" spans="1:25" ht="17.5" x14ac:dyDescent="0.45">
      <c r="B30" s="5" t="s">
        <v>31</v>
      </c>
      <c r="C30" s="3" t="s">
        <v>65</v>
      </c>
      <c r="U30" s="73" t="s">
        <v>55</v>
      </c>
      <c r="V30" s="74">
        <f>V32/(5*$B$7*25.4/1000)</f>
        <v>31.003937007874015</v>
      </c>
      <c r="W30" s="74">
        <f>(W32-1.5/($B$7*25.4/1000))/(3*$B$7*25.4/1000)</f>
        <v>48.645878541757092</v>
      </c>
      <c r="Y30" s="74">
        <f>Y32/(6*($B$7*25.4/1000))</f>
        <v>25.836614173228352</v>
      </c>
    </row>
    <row r="31" spans="1:25" ht="17.5" x14ac:dyDescent="0.45">
      <c r="B31" s="11" t="s">
        <v>61</v>
      </c>
      <c r="C31" t="s">
        <v>62</v>
      </c>
      <c r="U31" s="2" t="s">
        <v>68</v>
      </c>
      <c r="V31" s="48">
        <f>V30*($B$7*25.4/1000)^2</f>
        <v>5.1206399999999999</v>
      </c>
      <c r="W31" s="48">
        <f>W30*($B$7*25.4/1000)^2</f>
        <v>8.0344000000000015</v>
      </c>
      <c r="Y31" s="48">
        <f>Y30*($B$7*25.4/1000)^2</f>
        <v>4.2672000000000008</v>
      </c>
    </row>
    <row r="32" spans="1:25" ht="16.5" x14ac:dyDescent="0.45">
      <c r="U32" s="2" t="s">
        <v>70</v>
      </c>
      <c r="V32" s="48">
        <f>X27</f>
        <v>63</v>
      </c>
      <c r="W32" s="48">
        <f>X27</f>
        <v>63</v>
      </c>
      <c r="Y32" s="48">
        <f>X27</f>
        <v>63</v>
      </c>
    </row>
    <row r="33" spans="1:25" ht="16.5" x14ac:dyDescent="0.45">
      <c r="B33" s="11" t="s">
        <v>78</v>
      </c>
      <c r="C33" s="3" t="s">
        <v>79</v>
      </c>
      <c r="E33" s="3" t="s">
        <v>91</v>
      </c>
      <c r="H33" s="3" t="s">
        <v>76</v>
      </c>
    </row>
    <row r="34" spans="1:25" ht="18.75" customHeight="1" x14ac:dyDescent="0.35">
      <c r="W34" s="2" t="s">
        <v>120</v>
      </c>
      <c r="X34" s="5">
        <f>G11</f>
        <v>20</v>
      </c>
      <c r="Y34" s="3" t="str">
        <f>H11</f>
        <v>m/s</v>
      </c>
    </row>
    <row r="35" spans="1:25" ht="16.5" x14ac:dyDescent="0.35">
      <c r="A35" s="2" t="s">
        <v>13</v>
      </c>
      <c r="B35" s="11" t="s">
        <v>6</v>
      </c>
      <c r="C35" s="3" t="s">
        <v>56</v>
      </c>
      <c r="E35" s="3" t="s">
        <v>77</v>
      </c>
      <c r="U35" s="75" t="s">
        <v>125</v>
      </c>
      <c r="V35" s="76" t="s">
        <v>123</v>
      </c>
      <c r="W35" s="94" t="s">
        <v>136</v>
      </c>
      <c r="X35" s="94"/>
      <c r="Y35" s="76" t="s">
        <v>124</v>
      </c>
    </row>
    <row r="36" spans="1:25" x14ac:dyDescent="0.35">
      <c r="B36" s="11" t="s">
        <v>2</v>
      </c>
      <c r="C36" s="3" t="s">
        <v>92</v>
      </c>
      <c r="V36" s="11" t="str">
        <f>IF(V38&gt;0.75,"Yes","No")</f>
        <v>Yes</v>
      </c>
      <c r="W36" s="11" t="str">
        <f>IF(AND(W38&gt;0.5,V38&lt;0.75),"Yes","No")</f>
        <v>No</v>
      </c>
      <c r="Y36" s="11" t="str">
        <f>IF(Y38&lt;0.5,"Yes","No")</f>
        <v>No</v>
      </c>
    </row>
    <row r="37" spans="1:25" ht="16.5" x14ac:dyDescent="0.45">
      <c r="B37" s="11" t="s">
        <v>55</v>
      </c>
      <c r="C37" s="3" t="s">
        <v>93</v>
      </c>
      <c r="U37" s="73" t="s">
        <v>55</v>
      </c>
      <c r="V37" s="74">
        <f>V39/(5*$B$7*25.4/1000)</f>
        <v>9.8425196850393704</v>
      </c>
      <c r="W37" s="74">
        <f>(W39-1.5/($B$7*25.4/1000))/(3*$B$7*25.4/1000)</f>
        <v>13.37684967036601</v>
      </c>
      <c r="Y37" s="74">
        <f>Y39/(6*($B$7*25.4/1000))</f>
        <v>8.2020997375328086</v>
      </c>
    </row>
    <row r="38" spans="1:25" ht="17.5" x14ac:dyDescent="0.45">
      <c r="U38" s="2" t="s">
        <v>68</v>
      </c>
      <c r="V38" s="48">
        <f>V37*($B$7*25.4/1000)^2</f>
        <v>1.6255999999999999</v>
      </c>
      <c r="W38" s="48">
        <f>W37*($B$7*25.4/1000)^2</f>
        <v>2.2093333333333338</v>
      </c>
      <c r="Y38" s="48">
        <f>Y37*($B$7*25.4/1000)^2</f>
        <v>1.3546666666666667</v>
      </c>
    </row>
    <row r="39" spans="1:25" ht="17.5" x14ac:dyDescent="0.45">
      <c r="B39" s="11" t="s">
        <v>80</v>
      </c>
      <c r="C39" s="3" t="s">
        <v>81</v>
      </c>
      <c r="G39" t="s">
        <v>117</v>
      </c>
      <c r="U39" s="2" t="s">
        <v>70</v>
      </c>
      <c r="V39" s="48">
        <f>X34</f>
        <v>20</v>
      </c>
      <c r="W39" s="48">
        <f>X34</f>
        <v>20</v>
      </c>
      <c r="Y39" s="48">
        <f>X34</f>
        <v>20</v>
      </c>
    </row>
    <row r="40" spans="1:25" x14ac:dyDescent="0.35">
      <c r="H40" s="3" t="s">
        <v>90</v>
      </c>
    </row>
    <row r="42" spans="1:25" ht="16.5" x14ac:dyDescent="0.45">
      <c r="A42" s="2" t="s">
        <v>13</v>
      </c>
      <c r="B42" s="11" t="s">
        <v>88</v>
      </c>
      <c r="C42" s="3" t="s">
        <v>89</v>
      </c>
    </row>
    <row r="43" spans="1:25" x14ac:dyDescent="0.35">
      <c r="B43" s="47" t="s">
        <v>83</v>
      </c>
      <c r="C43" t="s">
        <v>94</v>
      </c>
      <c r="E43" s="11" t="s">
        <v>9</v>
      </c>
      <c r="F43" s="48">
        <f>B19/(B7*25.4/1000)</f>
        <v>35.565944881889763</v>
      </c>
    </row>
    <row r="44" spans="1:25" ht="17.5" x14ac:dyDescent="0.45">
      <c r="B44" s="47" t="s">
        <v>84</v>
      </c>
      <c r="C44" s="3" t="s">
        <v>95</v>
      </c>
      <c r="I44" s="6" t="s">
        <v>118</v>
      </c>
    </row>
    <row r="45" spans="1:25" ht="16.5" x14ac:dyDescent="0.45">
      <c r="B45" s="47" t="s">
        <v>87</v>
      </c>
      <c r="C45" t="s">
        <v>96</v>
      </c>
    </row>
    <row r="46" spans="1:25" ht="16.5" x14ac:dyDescent="0.35">
      <c r="B46" s="47" t="s">
        <v>85</v>
      </c>
      <c r="C46" s="3" t="s">
        <v>97</v>
      </c>
      <c r="D46" s="3"/>
      <c r="E46" s="62">
        <v>1.2250000000000001</v>
      </c>
      <c r="F46" t="s">
        <v>98</v>
      </c>
    </row>
    <row r="47" spans="1:25" x14ac:dyDescent="0.35">
      <c r="B47" s="47" t="s">
        <v>2</v>
      </c>
      <c r="C47" t="s">
        <v>99</v>
      </c>
    </row>
    <row r="48" spans="1:25" x14ac:dyDescent="0.35">
      <c r="B48" s="47" t="s">
        <v>39</v>
      </c>
      <c r="C48" s="3" t="s">
        <v>100</v>
      </c>
    </row>
    <row r="49" spans="1:31" ht="17.5" x14ac:dyDescent="0.45">
      <c r="B49" s="47" t="s">
        <v>86</v>
      </c>
      <c r="C49" t="s">
        <v>102</v>
      </c>
      <c r="I49" s="11" t="s">
        <v>103</v>
      </c>
      <c r="J49" t="s">
        <v>101</v>
      </c>
    </row>
    <row r="50" spans="1:31" x14ac:dyDescent="0.35">
      <c r="B50" s="47"/>
    </row>
    <row r="51" spans="1:31" x14ac:dyDescent="0.35">
      <c r="A51" s="3" t="s">
        <v>46</v>
      </c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Q51" s="3"/>
      <c r="R51" s="3"/>
      <c r="AD51" s="3"/>
      <c r="AE51" s="3"/>
    </row>
    <row r="52" spans="1:31" x14ac:dyDescent="0.35">
      <c r="A52" s="26"/>
      <c r="B52" s="27"/>
      <c r="C52" s="44" t="str">
        <f>G6</f>
        <v>Mode</v>
      </c>
      <c r="D52" s="45">
        <f>H6</f>
        <v>1</v>
      </c>
      <c r="E52" s="17"/>
      <c r="F52" s="26"/>
      <c r="G52" s="17"/>
      <c r="H52" s="44" t="str">
        <f>I6</f>
        <v>Mode</v>
      </c>
      <c r="I52" s="45">
        <f>J6</f>
        <v>1</v>
      </c>
      <c r="J52" s="17"/>
      <c r="K52" s="26"/>
      <c r="L52" s="17"/>
      <c r="M52" s="44" t="str">
        <f>K6</f>
        <v>Mode</v>
      </c>
      <c r="N52" s="45">
        <f>L6</f>
        <v>2</v>
      </c>
      <c r="O52" s="18"/>
      <c r="Q52" t="s">
        <v>50</v>
      </c>
    </row>
    <row r="53" spans="1:31" x14ac:dyDescent="0.35">
      <c r="A53" s="29"/>
      <c r="B53" s="30"/>
      <c r="C53" s="31" t="s">
        <v>4</v>
      </c>
      <c r="D53" s="23"/>
      <c r="E53" s="23"/>
      <c r="F53" s="29"/>
      <c r="G53" s="23"/>
      <c r="H53" s="31" t="s">
        <v>5</v>
      </c>
      <c r="I53" s="23"/>
      <c r="J53" s="23"/>
      <c r="K53" s="29"/>
      <c r="L53" s="23"/>
      <c r="M53" s="31" t="s">
        <v>4</v>
      </c>
      <c r="N53" s="23"/>
      <c r="O53" s="24"/>
      <c r="Q53" s="26"/>
      <c r="R53" s="27"/>
      <c r="S53" s="44" t="str">
        <f>C52</f>
        <v>Mode</v>
      </c>
      <c r="T53" s="45">
        <f>D52</f>
        <v>1</v>
      </c>
      <c r="U53" s="17"/>
      <c r="V53" s="26"/>
      <c r="W53" s="17"/>
      <c r="X53" s="44" t="str">
        <f>H52</f>
        <v>Mode</v>
      </c>
      <c r="Y53" s="45">
        <f>I52</f>
        <v>1</v>
      </c>
      <c r="Z53" s="17"/>
      <c r="AA53" s="26"/>
      <c r="AB53" s="17"/>
      <c r="AC53" s="44" t="str">
        <f>M52</f>
        <v>Mode</v>
      </c>
      <c r="AD53" s="45">
        <f>N52</f>
        <v>2</v>
      </c>
      <c r="AE53" s="18"/>
    </row>
    <row r="54" spans="1:31" ht="15" thickBot="1" x14ac:dyDescent="0.4">
      <c r="A54" s="28"/>
      <c r="B54" s="2" t="s">
        <v>15</v>
      </c>
      <c r="C54" s="3" t="s">
        <v>15</v>
      </c>
      <c r="D54" s="3"/>
      <c r="E54" s="3"/>
      <c r="F54" s="28" t="s">
        <v>15</v>
      </c>
      <c r="G54" s="3"/>
      <c r="H54" s="3"/>
      <c r="I54" s="3"/>
      <c r="J54" s="3"/>
      <c r="K54" s="26"/>
      <c r="L54" s="17"/>
      <c r="M54" s="17"/>
      <c r="N54" s="17"/>
      <c r="O54" s="18"/>
      <c r="Q54" s="29"/>
      <c r="R54" s="30"/>
      <c r="S54" s="31" t="s">
        <v>4</v>
      </c>
      <c r="T54" s="23"/>
      <c r="U54" s="23"/>
      <c r="V54" s="29"/>
      <c r="W54" s="23"/>
      <c r="X54" s="31" t="s">
        <v>5</v>
      </c>
      <c r="Y54" s="23"/>
      <c r="Z54" s="23"/>
      <c r="AA54" s="29"/>
      <c r="AB54" s="23"/>
      <c r="AC54" s="31" t="s">
        <v>4</v>
      </c>
      <c r="AD54" s="23"/>
      <c r="AE54" s="24"/>
    </row>
    <row r="55" spans="1:31" ht="17.5" thickTop="1" thickBot="1" x14ac:dyDescent="0.5">
      <c r="A55" s="28"/>
      <c r="B55" s="12" t="s">
        <v>55</v>
      </c>
      <c r="C55" s="39">
        <f>$G$8*SQRT($B$12*$B$8/($B$11*$B$14^4))</f>
        <v>52.213033519460588</v>
      </c>
      <c r="D55" s="40" t="s">
        <v>14</v>
      </c>
      <c r="E55" s="3"/>
      <c r="F55" s="28"/>
      <c r="G55" s="12" t="s">
        <v>55</v>
      </c>
      <c r="H55" s="39">
        <f>$I$8*SQRT($B$12*$B$8/($B$11*$B$14^4))</f>
        <v>75.946230573760843</v>
      </c>
      <c r="I55" s="40" t="s">
        <v>14</v>
      </c>
      <c r="J55" s="3"/>
      <c r="K55" s="28"/>
      <c r="L55" s="12" t="s">
        <v>55</v>
      </c>
      <c r="M55" s="39">
        <f>$K$8*SQRT($B$12*$B$8/($B$11*$B$14^4))</f>
        <v>169.52283610214477</v>
      </c>
      <c r="N55" s="40" t="s">
        <v>14</v>
      </c>
      <c r="O55" s="20"/>
      <c r="Q55" s="26"/>
      <c r="R55" s="27"/>
      <c r="S55" s="32"/>
      <c r="T55" s="17"/>
      <c r="U55" s="18"/>
      <c r="V55" s="3"/>
      <c r="W55" s="3"/>
      <c r="X55" s="22"/>
      <c r="Y55" s="3"/>
      <c r="Z55" s="3"/>
      <c r="AA55" s="26"/>
      <c r="AB55" s="17"/>
      <c r="AC55" s="32"/>
      <c r="AD55" s="17"/>
      <c r="AE55" s="18"/>
    </row>
    <row r="56" spans="1:31" ht="17.5" thickTop="1" thickBot="1" x14ac:dyDescent="0.5">
      <c r="A56" s="28"/>
      <c r="B56" s="13" t="s">
        <v>55</v>
      </c>
      <c r="C56" s="41">
        <f>C55/(2*3.14159)</f>
        <v>8.3099693975758431</v>
      </c>
      <c r="D56" s="42" t="s">
        <v>16</v>
      </c>
      <c r="E56" s="3"/>
      <c r="F56" s="28"/>
      <c r="G56" s="13" t="s">
        <v>55</v>
      </c>
      <c r="H56" s="41">
        <f>H55/(2*3.14159)</f>
        <v>12.08722821465577</v>
      </c>
      <c r="I56" s="42" t="s">
        <v>16</v>
      </c>
      <c r="J56" s="3"/>
      <c r="K56" s="28"/>
      <c r="L56" s="13" t="s">
        <v>55</v>
      </c>
      <c r="M56" s="41">
        <f>M55/(2*3.14159)</f>
        <v>26.980420121999494</v>
      </c>
      <c r="N56" s="42" t="s">
        <v>16</v>
      </c>
      <c r="O56" s="20"/>
      <c r="Q56" s="28"/>
      <c r="R56" s="46" t="s">
        <v>51</v>
      </c>
      <c r="S56" s="33">
        <f>IF(S16&gt;0,C56*(1+S17^2/T53^2)^0.5,C56*(1-S17^2/T53^2)^0.5)</f>
        <v>9.3039036107235269</v>
      </c>
      <c r="T56" s="34" t="s">
        <v>16</v>
      </c>
      <c r="U56" s="20"/>
      <c r="V56" s="3"/>
      <c r="W56" s="46" t="s">
        <v>51</v>
      </c>
      <c r="X56" s="33">
        <f>IF(S16&gt;0,H56*(1+S17^2/Y53^2)^0.5,H56*(1-S17^2/Y53^2)^0.5)</f>
        <v>13.532950706506947</v>
      </c>
      <c r="Y56" s="34" t="s">
        <v>16</v>
      </c>
      <c r="Z56" s="3"/>
      <c r="AA56" s="28"/>
      <c r="AB56" s="46" t="s">
        <v>51</v>
      </c>
      <c r="AC56" s="33">
        <f>IF(S16&gt;0,M56*(1+S17^2/AD53^2)^0.5,M56*(1-S17^2/AD53^2)^0.5)</f>
        <v>27.822297770206006</v>
      </c>
      <c r="AD56" s="34" t="s">
        <v>16</v>
      </c>
      <c r="AE56" s="20"/>
    </row>
    <row r="57" spans="1:31" ht="15" thickTop="1" x14ac:dyDescent="0.35">
      <c r="A57" s="28"/>
      <c r="B57" s="2"/>
      <c r="C57" s="4"/>
      <c r="D57" s="3"/>
      <c r="E57" s="3"/>
      <c r="F57" s="28"/>
      <c r="G57" s="3"/>
      <c r="H57" s="3"/>
      <c r="I57" s="3"/>
      <c r="J57" s="3"/>
      <c r="K57" s="28"/>
      <c r="L57" s="3"/>
      <c r="M57" s="3"/>
      <c r="N57" s="3"/>
      <c r="O57" s="20"/>
      <c r="Q57" s="28"/>
      <c r="R57" s="2"/>
      <c r="S57" s="4"/>
      <c r="T57" s="3"/>
      <c r="U57" s="20"/>
      <c r="V57" s="3"/>
      <c r="W57" s="3"/>
      <c r="X57" s="3"/>
      <c r="Y57" s="3"/>
      <c r="Z57" s="3"/>
      <c r="AA57" s="28"/>
      <c r="AB57" s="3"/>
      <c r="AC57" s="3"/>
      <c r="AD57" s="3"/>
      <c r="AE57" s="20"/>
    </row>
    <row r="58" spans="1:31" ht="18" thickBot="1" x14ac:dyDescent="0.5">
      <c r="A58" s="28"/>
      <c r="B58" s="2" t="s">
        <v>68</v>
      </c>
      <c r="C58" s="25">
        <f>C56*($B$7*25.4/1000)^2</f>
        <v>1.3724825232742479</v>
      </c>
      <c r="D58" s="3" t="s">
        <v>17</v>
      </c>
      <c r="E58" s="3"/>
      <c r="F58" s="28"/>
      <c r="G58" s="2" t="s">
        <v>68</v>
      </c>
      <c r="H58" s="25">
        <f>H56*($B$7*25.4/1000)^2</f>
        <v>1.9963382156716329</v>
      </c>
      <c r="I58" s="3" t="s">
        <v>17</v>
      </c>
      <c r="J58" s="3"/>
      <c r="K58" s="28"/>
      <c r="L58" s="2" t="s">
        <v>68</v>
      </c>
      <c r="M58" s="25">
        <f>M56*($B$7*25.4/1000)^2</f>
        <v>4.4561120885527536</v>
      </c>
      <c r="N58" s="3" t="s">
        <v>17</v>
      </c>
      <c r="O58" s="20"/>
      <c r="Q58" s="28"/>
      <c r="R58" s="2" t="s">
        <v>69</v>
      </c>
      <c r="S58" s="25">
        <f>S56*($B$7*25.4/1000)^2</f>
        <v>1.536641652094564</v>
      </c>
      <c r="T58" s="3" t="s">
        <v>17</v>
      </c>
      <c r="U58" s="20"/>
      <c r="V58" s="3"/>
      <c r="W58" s="2" t="s">
        <v>69</v>
      </c>
      <c r="X58" s="25">
        <f>X56*($B$7*25.4/1000)^2</f>
        <v>2.2351151303193655</v>
      </c>
      <c r="Y58" s="3" t="s">
        <v>17</v>
      </c>
      <c r="Z58" s="3"/>
      <c r="AA58" s="28"/>
      <c r="AB58" s="2" t="s">
        <v>69</v>
      </c>
      <c r="AC58" s="25">
        <f>AC56*($B$7*25.4/1000)^2</f>
        <v>4.5951574091330833</v>
      </c>
      <c r="AD58" s="3" t="s">
        <v>17</v>
      </c>
      <c r="AE58" s="20"/>
    </row>
    <row r="59" spans="1:31" ht="17.5" thickTop="1" thickBot="1" x14ac:dyDescent="0.5">
      <c r="A59" s="28"/>
      <c r="B59" s="35" t="s">
        <v>70</v>
      </c>
      <c r="C59" s="36">
        <f>IF(C58&gt;0.5,IF(C58&gt;0.75,5*C56*$B$7*25.4/1000,3*C56*$B$7*25.4/1000+1.5/($B$7*25.4/1000)),6*C56*($B$7*25.4/1000))</f>
        <v>16.885857815874111</v>
      </c>
      <c r="D59" s="37" t="s">
        <v>18</v>
      </c>
      <c r="E59" s="22" t="str">
        <f>IF(C59&gt;K11, "OK","Bad")</f>
        <v>Bad</v>
      </c>
      <c r="F59" s="28"/>
      <c r="G59" s="35" t="s">
        <v>70</v>
      </c>
      <c r="H59" s="36">
        <f>IF(H58&gt;0.5,IF(H58&gt;0.75,5*H56*$B$7*25.4/1000,3*H56*$B$7*25.4/1000+1.5/($B$7*25.4/1000)),6*H56*($B$7*25.4/1000))</f>
        <v>24.561247732180522</v>
      </c>
      <c r="I59" s="37" t="s">
        <v>18</v>
      </c>
      <c r="J59" s="22" t="str">
        <f>IF(H59&gt;K11, "OK","Bad")</f>
        <v>Bad</v>
      </c>
      <c r="K59" s="28"/>
      <c r="L59" s="35" t="s">
        <v>70</v>
      </c>
      <c r="M59" s="36">
        <f>IF(M58&gt;0.5,IF(M58&gt;0.75,5*M56*$B$7*25.4/1000,3*M56*$B$7*25.4/1000+1.5/($B$7*25.4/1000)),6*M56*($B$7*25.4/1000))</f>
        <v>54.824213687902962</v>
      </c>
      <c r="N59" s="37" t="s">
        <v>18</v>
      </c>
      <c r="O59" s="38" t="str">
        <f>IF(M59&gt;K11, "OK","Bad")</f>
        <v>Bad</v>
      </c>
      <c r="Q59" s="28"/>
      <c r="R59" s="35" t="s">
        <v>70</v>
      </c>
      <c r="S59" s="36">
        <f>IF(S58&gt;0.5,IF(S58&gt;0.75,5*S56*$B$7*25.4/1000,3*S56*$B$7*25.4/1000+1.5/($B$7*25.4/1000)),6*S56*($B$7*25.4/1000))</f>
        <v>18.905532136990203</v>
      </c>
      <c r="T59" s="37" t="s">
        <v>18</v>
      </c>
      <c r="U59" s="38" t="str">
        <f>IF(S59&gt;G11, "OK","Bad")</f>
        <v>Bad</v>
      </c>
      <c r="V59" s="3"/>
      <c r="W59" s="35" t="s">
        <v>70</v>
      </c>
      <c r="X59" s="36">
        <f>IF(X58&gt;0.5,IF(X58&gt;0.75,5*X56*$B$7*25.4/1000,3*X56*$B$7*25.4/1000+1.5/($B$7*25.4/1000)),6*X56*($B$7*25.4/1000))</f>
        <v>27.498955835622112</v>
      </c>
      <c r="Y59" s="37" t="s">
        <v>18</v>
      </c>
      <c r="Z59" s="22" t="str">
        <f>IF(X59&gt;G11, "OK","Bad")</f>
        <v>OK</v>
      </c>
      <c r="AA59" s="28"/>
      <c r="AB59" s="35" t="s">
        <v>70</v>
      </c>
      <c r="AC59" s="36">
        <f>IF(AC58&gt;0.5,IF(AC58&gt;0.75,5*AC56*$B$7*25.4/1000,3*AC56*$B$7*25.4/1000+1.5/($B$7*25.4/1000)),6*AC56*($B$7*25.4/1000))</f>
        <v>56.5349090690586</v>
      </c>
      <c r="AD59" s="37" t="s">
        <v>18</v>
      </c>
      <c r="AE59" s="38" t="str">
        <f>IF(AC59&gt;G11, "OK","Bad")</f>
        <v>OK</v>
      </c>
    </row>
    <row r="60" spans="1:31" ht="15" thickTop="1" x14ac:dyDescent="0.35">
      <c r="A60" s="28"/>
      <c r="B60" s="3"/>
      <c r="C60" s="3"/>
      <c r="D60" s="3"/>
      <c r="E60" s="3"/>
      <c r="F60" s="28"/>
      <c r="G60" s="3"/>
      <c r="H60" s="3"/>
      <c r="I60" s="3"/>
      <c r="J60" s="3"/>
      <c r="K60" s="28"/>
      <c r="L60" s="3"/>
      <c r="M60" s="3"/>
      <c r="N60" s="3"/>
      <c r="O60" s="20"/>
      <c r="Q60" s="28"/>
      <c r="R60" s="3"/>
      <c r="S60" s="3"/>
      <c r="T60" s="3"/>
      <c r="U60" s="20"/>
      <c r="V60" s="3"/>
      <c r="W60" s="3"/>
      <c r="X60" s="3"/>
      <c r="Y60" s="3"/>
      <c r="Z60" s="3"/>
      <c r="AA60" s="28"/>
      <c r="AB60" s="3"/>
      <c r="AC60" s="3"/>
      <c r="AD60" s="3"/>
      <c r="AE60" s="20"/>
    </row>
    <row r="61" spans="1:31" ht="16.5" x14ac:dyDescent="0.45">
      <c r="A61" s="28"/>
      <c r="B61" s="2" t="s">
        <v>105</v>
      </c>
      <c r="C61" s="4">
        <f>0.6*C59^2</f>
        <v>171.07931650675008</v>
      </c>
      <c r="D61" s="3" t="s">
        <v>29</v>
      </c>
      <c r="E61" s="3"/>
      <c r="F61" s="28"/>
      <c r="G61" s="2" t="s">
        <v>105</v>
      </c>
      <c r="H61" s="4">
        <f>0.6*H59^2</f>
        <v>361.95293409692573</v>
      </c>
      <c r="I61" s="3" t="s">
        <v>29</v>
      </c>
      <c r="J61" s="3"/>
      <c r="K61" s="28"/>
      <c r="L61" s="2" t="s">
        <v>105</v>
      </c>
      <c r="M61" s="4">
        <f>0.6*M59^2</f>
        <v>1803.4166438981078</v>
      </c>
      <c r="N61" s="3" t="s">
        <v>29</v>
      </c>
      <c r="O61" s="20"/>
      <c r="Q61" s="28"/>
      <c r="R61" s="2" t="s">
        <v>105</v>
      </c>
      <c r="S61" s="4">
        <f>0.6*S59^2</f>
        <v>214.45148722966164</v>
      </c>
      <c r="T61" s="3" t="s">
        <v>29</v>
      </c>
      <c r="U61" s="20"/>
      <c r="V61" s="3"/>
      <c r="W61" s="2" t="s">
        <v>105</v>
      </c>
      <c r="X61" s="4">
        <f>0.6*X59^2</f>
        <v>453.71554322969723</v>
      </c>
      <c r="Y61" s="3" t="s">
        <v>29</v>
      </c>
      <c r="Z61" s="3"/>
      <c r="AA61" s="28"/>
      <c r="AB61" s="2" t="s">
        <v>105</v>
      </c>
      <c r="AC61" s="4">
        <f>0.6*AC59^2</f>
        <v>1917.7175660680346</v>
      </c>
      <c r="AD61" s="3" t="s">
        <v>29</v>
      </c>
      <c r="AE61" s="20"/>
    </row>
    <row r="62" spans="1:31" ht="16.5" x14ac:dyDescent="0.45">
      <c r="A62" s="28"/>
      <c r="B62" s="2" t="s">
        <v>106</v>
      </c>
      <c r="C62" s="4">
        <f>IF(C59&gt;10,IF(F43&lt;16,3*SQRT(F43)/4,3),IF(F43&gt;12,6,3*SQRT(F43)/4))</f>
        <v>3</v>
      </c>
      <c r="D62" s="3"/>
      <c r="E62" s="3"/>
      <c r="F62" s="28"/>
      <c r="G62" s="2" t="s">
        <v>19</v>
      </c>
      <c r="H62" s="4">
        <f>IF(H59&gt;10,IF(F43&lt;16,3*SQRT(F43)/4,3),IF(F43&gt;12,6,3*SQRT(F43)/4))</f>
        <v>3</v>
      </c>
      <c r="I62" s="3"/>
      <c r="J62" s="3"/>
      <c r="K62" s="28"/>
      <c r="L62" s="2" t="s">
        <v>19</v>
      </c>
      <c r="M62" s="4">
        <f>IF(M59&gt;10,IF(F43&lt;16,3*SQRT(F43)/4,3),IF(F43&gt;12,6,3*SQRT(F43)/4))</f>
        <v>3</v>
      </c>
      <c r="N62" s="3"/>
      <c r="O62" s="20"/>
      <c r="Q62" s="28"/>
      <c r="R62" s="2" t="s">
        <v>19</v>
      </c>
      <c r="S62" s="4">
        <f>IF(S59&gt;10,IF(F43&lt;16,3*SQRT(F43)/4,3),IF(F43&gt;12,6,3*SQRT(F43)/4))</f>
        <v>3</v>
      </c>
      <c r="T62" s="3"/>
      <c r="U62" s="20"/>
      <c r="V62" s="3"/>
      <c r="W62" s="2" t="s">
        <v>19</v>
      </c>
      <c r="X62" s="4">
        <f>IF(X59&gt;10,IF(F43&lt;16,3*SQRT(F43)/4,3),IF(F43&gt;12,6,3*SQRT(F43)/4))</f>
        <v>3</v>
      </c>
      <c r="Y62" s="3"/>
      <c r="Z62" s="3"/>
      <c r="AA62" s="28"/>
      <c r="AB62" s="2" t="s">
        <v>19</v>
      </c>
      <c r="AC62" s="4">
        <f>IF(AC59&gt;10,IF(F43&lt;16,3*SQRT(F43)/4,3),IF(F43&gt;12,6,3*SQRT(F43)/4))</f>
        <v>3</v>
      </c>
      <c r="AD62" s="3"/>
      <c r="AE62" s="20"/>
    </row>
    <row r="63" spans="1:31" ht="16.5" x14ac:dyDescent="0.45">
      <c r="A63" s="28"/>
      <c r="B63" s="2" t="s">
        <v>107</v>
      </c>
      <c r="C63" s="3">
        <f>IF(C59&lt;10,IF(F43&gt;12,1.2,0.6),0.6)</f>
        <v>0.6</v>
      </c>
      <c r="D63" s="3"/>
      <c r="E63" s="3"/>
      <c r="F63" s="28"/>
      <c r="G63" s="2" t="s">
        <v>20</v>
      </c>
      <c r="H63" s="3">
        <f>IF(H59&lt;10,IF(F43&gt;12,1.2,0.6),0.6)</f>
        <v>0.6</v>
      </c>
      <c r="I63" s="3"/>
      <c r="J63" s="3"/>
      <c r="K63" s="28"/>
      <c r="L63" s="2" t="s">
        <v>20</v>
      </c>
      <c r="M63" s="3">
        <f>IF(M59&lt;10,IF(F43&gt;12,1.2,0.6),0.6)</f>
        <v>0.6</v>
      </c>
      <c r="N63" s="3"/>
      <c r="O63" s="20"/>
      <c r="Q63" s="28"/>
      <c r="R63" s="2" t="s">
        <v>20</v>
      </c>
      <c r="S63" s="3">
        <f>IF(S59&lt;10,IF(F43&gt;12,1.2,0.6),0.6)</f>
        <v>0.6</v>
      </c>
      <c r="T63" s="3"/>
      <c r="U63" s="20"/>
      <c r="V63" s="3"/>
      <c r="W63" s="2" t="s">
        <v>20</v>
      </c>
      <c r="X63" s="3">
        <f>IF(X59&lt;10,IF(F43&gt;12,1.2,0.6),0.6)</f>
        <v>0.6</v>
      </c>
      <c r="Y63" s="3"/>
      <c r="Z63" s="3"/>
      <c r="AA63" s="28"/>
      <c r="AB63" s="2" t="s">
        <v>20</v>
      </c>
      <c r="AC63" s="3">
        <f>IF(AC59&lt;10,IF(F43&gt;12,1.2,0.6),0.6)</f>
        <v>0.6</v>
      </c>
      <c r="AD63" s="3"/>
      <c r="AE63" s="20"/>
    </row>
    <row r="64" spans="1:31" x14ac:dyDescent="0.35">
      <c r="A64" s="28"/>
      <c r="B64" s="2"/>
      <c r="C64" s="3"/>
      <c r="D64" s="3"/>
      <c r="E64" s="3"/>
      <c r="F64" s="28"/>
      <c r="G64" s="2"/>
      <c r="H64" s="3"/>
      <c r="I64" s="3"/>
      <c r="J64" s="3"/>
      <c r="K64" s="28"/>
      <c r="L64" s="2"/>
      <c r="M64" s="3"/>
      <c r="N64" s="3"/>
      <c r="O64" s="20"/>
      <c r="Q64" s="28"/>
      <c r="R64" s="3"/>
      <c r="S64" s="3"/>
      <c r="T64" s="3"/>
      <c r="U64" s="20"/>
      <c r="V64" s="3"/>
      <c r="W64" s="3"/>
      <c r="X64" s="3"/>
      <c r="Y64" s="3"/>
      <c r="Z64" s="3"/>
      <c r="AA64" s="28"/>
      <c r="AB64" s="3"/>
      <c r="AC64" s="3"/>
      <c r="AD64" s="3"/>
      <c r="AE64" s="20"/>
    </row>
    <row r="65" spans="1:31" ht="17.5" x14ac:dyDescent="0.45">
      <c r="A65" s="28"/>
      <c r="B65" s="2" t="s">
        <v>108</v>
      </c>
      <c r="C65" s="95">
        <f>C63*$E$46*($B$7*25.4/1000)^2/($B$10*1.48816)</f>
        <v>1.3054842795036804E-3</v>
      </c>
      <c r="D65" s="3"/>
      <c r="E65" s="22" t="str">
        <f>IF(C65&lt;$B$18, "OK","Bad")</f>
        <v>OK</v>
      </c>
      <c r="F65" s="28"/>
      <c r="G65" s="2" t="s">
        <v>108</v>
      </c>
      <c r="H65" s="95">
        <f>H63*E46*($B$7*25.4/1000)^2/($B$10*1.48816)</f>
        <v>1.3054842795036804E-3</v>
      </c>
      <c r="I65" s="3"/>
      <c r="J65" s="22" t="str">
        <f>IF(H65&lt;$B$18, "OK","Bad")</f>
        <v>OK</v>
      </c>
      <c r="K65" s="28"/>
      <c r="L65" s="2" t="s">
        <v>108</v>
      </c>
      <c r="M65" s="21">
        <f>M63*E46*($B$7*25.4/1000)^2/($B$10*1.48816)</f>
        <v>1.3054842795036804E-3</v>
      </c>
      <c r="N65" s="3"/>
      <c r="O65" s="38" t="str">
        <f>IF(M65&lt;$B$18, "OK","Bad")</f>
        <v>OK</v>
      </c>
      <c r="Q65" s="7"/>
      <c r="R65" s="2" t="s">
        <v>108</v>
      </c>
      <c r="S65" s="21">
        <f>S63*E46*($B$7*25.4/1000)^2/($B$10*1.48816)</f>
        <v>1.3054842795036804E-3</v>
      </c>
      <c r="T65" s="3"/>
      <c r="U65" s="38" t="str">
        <f>IF(S65&lt;$B$18, "OK","Bad")</f>
        <v>OK</v>
      </c>
      <c r="V65" s="3"/>
      <c r="W65" s="2" t="s">
        <v>108</v>
      </c>
      <c r="X65" s="21">
        <f>X63*E46*($B$7*25.4/1000)^2/($B$10*1.48816)</f>
        <v>1.3054842795036804E-3</v>
      </c>
      <c r="Y65" s="3"/>
      <c r="Z65" s="22" t="str">
        <f>IF(X65&lt;$B$18, "OK","Bad")</f>
        <v>OK</v>
      </c>
      <c r="AA65" s="28"/>
      <c r="AB65" s="2" t="s">
        <v>108</v>
      </c>
      <c r="AC65" s="21">
        <f>AC63*E46*($B$7*25.4/1000)^2/($B$10*1.48816)</f>
        <v>1.3054842795036804E-3</v>
      </c>
      <c r="AE65" s="38" t="str">
        <f>IF(AC65&lt;$B$18, "OK","Bad")</f>
        <v>OK</v>
      </c>
    </row>
    <row r="66" spans="1:31" x14ac:dyDescent="0.35">
      <c r="A66" s="28"/>
      <c r="B66" s="3"/>
      <c r="C66" s="3"/>
      <c r="D66" s="3"/>
      <c r="E66" s="3"/>
      <c r="F66" s="28"/>
      <c r="G66" s="3"/>
      <c r="H66" s="3"/>
      <c r="I66" s="3"/>
      <c r="J66" s="3"/>
      <c r="K66" s="28"/>
      <c r="L66" s="3"/>
      <c r="M66" s="3"/>
      <c r="N66" s="3"/>
      <c r="O66" s="20"/>
      <c r="Q66" s="7"/>
      <c r="U66" s="8"/>
      <c r="AA66" s="7"/>
      <c r="AE66" s="8"/>
    </row>
    <row r="67" spans="1:31" ht="16.5" x14ac:dyDescent="0.45">
      <c r="A67" s="28"/>
      <c r="B67" s="11" t="s">
        <v>80</v>
      </c>
      <c r="C67" s="4">
        <f>IF($B$18&lt;C65,0,(C62*C61*($B$7*25.4/1000))/(SQRT(F43)*SQRT($B$18-C65)))</f>
        <v>375.08749579226537</v>
      </c>
      <c r="D67" s="3" t="s">
        <v>21</v>
      </c>
      <c r="E67" s="3"/>
      <c r="F67" s="28"/>
      <c r="G67" s="11" t="s">
        <v>80</v>
      </c>
      <c r="H67" s="4">
        <f>IF($B$18&lt;H65,0,(H62*H61*($B$7*25.4/1000))/(SQRT(F43)*SQRT($B$18-H65)))</f>
        <v>793.57354481669347</v>
      </c>
      <c r="I67" s="3" t="s">
        <v>21</v>
      </c>
      <c r="J67" s="3"/>
      <c r="K67" s="28"/>
      <c r="L67" s="11" t="s">
        <v>80</v>
      </c>
      <c r="M67" s="4">
        <f>IF($B$18&lt;M65,0,(M62*M61*($B$7*25.4/1000))/(SQRT(F43)*SQRT($B$18-M65)))</f>
        <v>3953.949820714553</v>
      </c>
      <c r="N67" s="3" t="s">
        <v>21</v>
      </c>
      <c r="O67" s="20"/>
      <c r="Q67" s="28"/>
      <c r="R67" s="11" t="s">
        <v>80</v>
      </c>
      <c r="S67" s="4">
        <f>IF($B$18&lt;S65,0,(S62*S61*($B$7*25.4/1000))/(SQRT(F43)*SQRT($B$18-S65)))</f>
        <v>470.17998993891808</v>
      </c>
      <c r="T67" s="3" t="s">
        <v>21</v>
      </c>
      <c r="U67" s="20"/>
      <c r="V67" s="3"/>
      <c r="W67" s="11" t="s">
        <v>80</v>
      </c>
      <c r="X67" s="4">
        <f>IF($B$18&lt;X65,0,(X62*X61*($B$7*25.4/1000))/(SQRT(F43)*SQRT($B$18-X65)))</f>
        <v>994.7609704492811</v>
      </c>
      <c r="Y67" s="3" t="s">
        <v>21</v>
      </c>
      <c r="Z67" s="3"/>
      <c r="AA67" s="28"/>
      <c r="AB67" s="11" t="s">
        <v>80</v>
      </c>
      <c r="AC67" s="4">
        <f>IF($B$18&lt;AC65,0,(AC62*AC61*($B$7*25.4/1000))/(SQRT(F43)*SQRT($B$18-AC65)))</f>
        <v>4204.5519831435386</v>
      </c>
      <c r="AD67" s="3" t="s">
        <v>21</v>
      </c>
      <c r="AE67" s="20"/>
    </row>
    <row r="68" spans="1:31" x14ac:dyDescent="0.35">
      <c r="A68" s="28"/>
      <c r="B68" s="3"/>
      <c r="C68" s="3"/>
      <c r="D68" s="3"/>
      <c r="E68" s="3"/>
      <c r="F68" s="28"/>
      <c r="G68" s="3"/>
      <c r="H68" s="3"/>
      <c r="I68" s="3"/>
      <c r="J68" s="3"/>
      <c r="K68" s="28"/>
      <c r="L68" s="3"/>
      <c r="M68" s="3"/>
      <c r="N68" s="3"/>
      <c r="O68" s="20"/>
      <c r="Q68" s="28"/>
      <c r="R68" s="3"/>
      <c r="S68" s="3"/>
      <c r="T68" s="3"/>
      <c r="U68" s="20"/>
      <c r="V68" s="3"/>
      <c r="W68" s="3"/>
      <c r="X68" s="3"/>
      <c r="Y68" s="3"/>
      <c r="Z68" s="3"/>
      <c r="AA68" s="28"/>
      <c r="AB68" s="3"/>
      <c r="AC68" s="3"/>
      <c r="AD68" s="3"/>
      <c r="AE68" s="20"/>
    </row>
    <row r="69" spans="1:31" ht="16.5" x14ac:dyDescent="0.35">
      <c r="A69" s="28"/>
      <c r="B69" s="78" t="s">
        <v>132</v>
      </c>
      <c r="C69" s="4">
        <f>IF((MAX(IF($V$29="Yes",$V$30,0),IF($W$29="Yes",$W$30,0),IF($Y$29="Yes",$Y$30,0)))/C56&gt;1,1,(MAX(IF($V$29="Yes",$V$30,0),IF($W$29="Yes",$W$30,0),IF($Y$29="Yes",$Y$30,0)))/C56)</f>
        <v>1</v>
      </c>
      <c r="D69" s="3"/>
      <c r="E69" s="3"/>
      <c r="F69" s="28"/>
      <c r="G69" s="78" t="s">
        <v>126</v>
      </c>
      <c r="H69" s="4">
        <f>IF((MAX(IF($V$29="Yes",$V$30,0),IF($W$29="Yes",$W$30,0),IF($Y$29="Yes",$Y$30,0)))/H56&gt;1,1,(MAX(IF($V$29="Yes",$V$30,0),IF($W$29="Yes",$W$30,0),IF($Y$29="Yes",$Y$30,0)))/H56)</f>
        <v>1</v>
      </c>
      <c r="I69" s="3"/>
      <c r="J69" s="3"/>
      <c r="K69" s="28"/>
      <c r="L69" s="78" t="s">
        <v>126</v>
      </c>
      <c r="M69" s="4">
        <f>IF((MAX(IF($V$29="Yes",$V$30,0),IF($W$29="Yes",$W$30,0),IF($Y$29="Yes",$Y$30,0)))/M56&gt;1,1,(MAX(IF($V$29="Yes",$V$30,0),IF($W$29="Yes",$W$30,0),IF($Y$29="Yes",$Y$30,0)))/M56)</f>
        <v>1</v>
      </c>
      <c r="N69" s="3"/>
      <c r="O69" s="20"/>
      <c r="Q69" s="7"/>
      <c r="R69" s="78" t="s">
        <v>126</v>
      </c>
      <c r="S69" s="4">
        <f>IF((MAX(IF($V$36="Yes",$V$37,0),IF($W$36="Yes",$W$37,0),IF($Y$36="Yes",$Y$37,0)))/S56&gt;1,1,(MAX(IF($V$36="Yes",$V$37,0),IF($W$36="Yes",$W$37,0),IF($Y$36="Yes",$Y$37,0)))/S56)</f>
        <v>1</v>
      </c>
      <c r="T69" s="3"/>
      <c r="U69" s="20"/>
      <c r="W69" s="78" t="s">
        <v>126</v>
      </c>
      <c r="X69" s="4">
        <f>IF((MAX(IF($V$36="Yes",$V$37,0),IF($W$36="Yes",$W$37,0),IF($Y$36="Yes",$Y$37,0)))/X56&gt;1,1,(MAX(IF($V$36="Yes",$V$37,0),IF($W$36="Yes",$W$37,0),IF($Y$36="Yes",$Y$37,0)))/X56)</f>
        <v>0.72730034258580911</v>
      </c>
      <c r="Y69" s="3"/>
      <c r="Z69" s="20"/>
      <c r="AB69" s="78" t="s">
        <v>126</v>
      </c>
      <c r="AC69" s="4">
        <f>IF((MAX(IF($V$36="Yes",$V$37,0),IF($W$36="Yes",$W$37,0),IF($Y$36="Yes",$Y$37,0)))/AC56&gt;1,1,(MAX(IF($V$36="Yes",$V$37,0),IF($W$36="Yes",$W$37,0),IF($Y$36="Yes",$Y$37,0)))/AC56)</f>
        <v>0.35376372456121885</v>
      </c>
      <c r="AD69" s="3"/>
      <c r="AE69" s="20"/>
    </row>
    <row r="70" spans="1:31" x14ac:dyDescent="0.35">
      <c r="A70" s="82"/>
      <c r="B70" s="80" t="s">
        <v>127</v>
      </c>
      <c r="C70" s="84">
        <v>50</v>
      </c>
      <c r="E70" s="85" t="s">
        <v>131</v>
      </c>
      <c r="F70" s="82"/>
      <c r="G70" s="80" t="s">
        <v>127</v>
      </c>
      <c r="H70" s="84">
        <v>50</v>
      </c>
      <c r="J70" s="85" t="s">
        <v>131</v>
      </c>
      <c r="K70" s="82"/>
      <c r="L70" s="80" t="s">
        <v>127</v>
      </c>
      <c r="M70" s="84">
        <v>50</v>
      </c>
      <c r="O70" s="86" t="s">
        <v>131</v>
      </c>
      <c r="P70" s="72"/>
      <c r="Q70" s="82"/>
      <c r="R70" s="80" t="s">
        <v>127</v>
      </c>
      <c r="S70" s="84">
        <v>50</v>
      </c>
      <c r="U70" s="86" t="s">
        <v>131</v>
      </c>
      <c r="V70" s="81"/>
      <c r="W70" s="80" t="s">
        <v>127</v>
      </c>
      <c r="X70" s="84">
        <v>2.2999999999999998</v>
      </c>
      <c r="Z70" s="86" t="s">
        <v>131</v>
      </c>
      <c r="AA70" s="82"/>
      <c r="AB70" s="80" t="s">
        <v>127</v>
      </c>
      <c r="AC70" s="84">
        <v>1.2</v>
      </c>
      <c r="AE70" s="86" t="s">
        <v>131</v>
      </c>
    </row>
    <row r="71" spans="1:31" x14ac:dyDescent="0.35">
      <c r="A71" s="28"/>
      <c r="B71" s="2" t="s">
        <v>22</v>
      </c>
      <c r="C71" s="4">
        <f>(C70*C67/1000)</f>
        <v>18.754374789613269</v>
      </c>
      <c r="D71" s="3" t="s">
        <v>23</v>
      </c>
      <c r="E71" s="50"/>
      <c r="F71" s="51"/>
      <c r="G71" s="2" t="s">
        <v>22</v>
      </c>
      <c r="H71" s="4">
        <f>(H70*H67/1000)</f>
        <v>39.678677240834674</v>
      </c>
      <c r="I71" s="3" t="s">
        <v>23</v>
      </c>
      <c r="J71" s="50"/>
      <c r="K71" s="51"/>
      <c r="L71" s="2" t="s">
        <v>22</v>
      </c>
      <c r="M71" s="4">
        <f>(M70*M67/1000)</f>
        <v>197.69749103572764</v>
      </c>
      <c r="N71" s="3" t="s">
        <v>23</v>
      </c>
      <c r="O71" s="52"/>
      <c r="P71" s="53"/>
      <c r="Q71" s="28"/>
      <c r="R71" s="2" t="s">
        <v>22</v>
      </c>
      <c r="S71" s="4">
        <f>(S70*S67/1000)</f>
        <v>23.508999496945904</v>
      </c>
      <c r="T71" s="3" t="s">
        <v>23</v>
      </c>
      <c r="U71" s="20"/>
      <c r="V71" s="3"/>
      <c r="W71" s="2" t="s">
        <v>22</v>
      </c>
      <c r="X71" s="4">
        <f>(X70*X67/1000)</f>
        <v>2.2879502320333462</v>
      </c>
      <c r="Y71" s="3" t="s">
        <v>23</v>
      </c>
      <c r="Z71" s="3"/>
      <c r="AA71" s="28"/>
      <c r="AB71" s="2" t="s">
        <v>22</v>
      </c>
      <c r="AC71" s="4">
        <f>(AC70*AC67/1000)</f>
        <v>5.0454623797722462</v>
      </c>
      <c r="AD71" s="3" t="s">
        <v>23</v>
      </c>
      <c r="AE71" s="20"/>
    </row>
    <row r="72" spans="1:31" ht="15" thickBot="1" x14ac:dyDescent="0.4">
      <c r="A72" s="28"/>
      <c r="B72" s="3"/>
      <c r="C72" s="3"/>
      <c r="D72" s="3"/>
      <c r="E72" s="50"/>
      <c r="F72" s="51"/>
      <c r="G72" s="3"/>
      <c r="H72" s="3"/>
      <c r="I72" s="3"/>
      <c r="J72" s="50"/>
      <c r="K72" s="51"/>
      <c r="L72" s="3"/>
      <c r="M72" s="3"/>
      <c r="N72" s="3"/>
      <c r="O72" s="52"/>
      <c r="P72" s="53"/>
      <c r="Q72" s="28"/>
      <c r="R72" s="3"/>
      <c r="S72" s="3"/>
      <c r="T72" s="3"/>
      <c r="U72" s="20"/>
      <c r="V72" s="3"/>
      <c r="W72" s="3"/>
      <c r="X72" s="3"/>
      <c r="Y72" s="3"/>
      <c r="Z72" s="3"/>
      <c r="AA72" s="28"/>
      <c r="AB72" s="3"/>
      <c r="AC72" s="3"/>
      <c r="AD72" s="3"/>
      <c r="AE72" s="20"/>
    </row>
    <row r="73" spans="1:31" ht="15" thickTop="1" x14ac:dyDescent="0.35">
      <c r="A73" s="28"/>
      <c r="B73" s="64" t="s">
        <v>24</v>
      </c>
      <c r="C73" s="65">
        <f>C71</f>
        <v>18.754374789613269</v>
      </c>
      <c r="D73" s="66" t="s">
        <v>23</v>
      </c>
      <c r="E73" s="50"/>
      <c r="F73" s="51"/>
      <c r="G73" s="64" t="s">
        <v>24</v>
      </c>
      <c r="H73" s="65">
        <f>H71</f>
        <v>39.678677240834674</v>
      </c>
      <c r="I73" s="66" t="s">
        <v>23</v>
      </c>
      <c r="J73" s="50"/>
      <c r="K73" s="51"/>
      <c r="L73" s="64" t="s">
        <v>24</v>
      </c>
      <c r="M73" s="65">
        <f>M71</f>
        <v>197.69749103572764</v>
      </c>
      <c r="N73" s="66" t="s">
        <v>23</v>
      </c>
      <c r="O73" s="52"/>
      <c r="P73" s="53"/>
      <c r="Q73" s="28"/>
      <c r="R73" s="64" t="s">
        <v>24</v>
      </c>
      <c r="S73" s="65">
        <f>S71</f>
        <v>23.508999496945904</v>
      </c>
      <c r="T73" s="66" t="s">
        <v>23</v>
      </c>
      <c r="U73" s="20"/>
      <c r="V73" s="3"/>
      <c r="W73" s="64" t="s">
        <v>24</v>
      </c>
      <c r="X73" s="65">
        <f>X71</f>
        <v>2.2879502320333462</v>
      </c>
      <c r="Y73" s="66" t="s">
        <v>23</v>
      </c>
      <c r="Z73" s="3"/>
      <c r="AA73" s="28"/>
      <c r="AB73" s="64" t="s">
        <v>24</v>
      </c>
      <c r="AC73" s="65">
        <f>AC71</f>
        <v>5.0454623797722462</v>
      </c>
      <c r="AD73" s="66" t="s">
        <v>23</v>
      </c>
      <c r="AE73" s="20"/>
    </row>
    <row r="74" spans="1:31" x14ac:dyDescent="0.35">
      <c r="A74" s="28"/>
      <c r="B74" s="67" t="s">
        <v>25</v>
      </c>
      <c r="C74" s="4">
        <f>(C71*($B$14*25.4/1000)^2/8)</f>
        <v>489.76608097548751</v>
      </c>
      <c r="D74" s="68" t="s">
        <v>33</v>
      </c>
      <c r="E74" s="50"/>
      <c r="F74" s="51"/>
      <c r="G74" s="67" t="s">
        <v>25</v>
      </c>
      <c r="H74" s="4">
        <f>(H71*($B$14*25.4/1000)^2/8)</f>
        <v>1036.1993118159071</v>
      </c>
      <c r="I74" s="68" t="s">
        <v>33</v>
      </c>
      <c r="J74" s="50"/>
      <c r="K74" s="51"/>
      <c r="L74" s="67" t="s">
        <v>25</v>
      </c>
      <c r="M74" s="4">
        <f>((M71*($B$14*25.4/1000)^2/8))/3</f>
        <v>1720.9411402129626</v>
      </c>
      <c r="N74" s="68" t="s">
        <v>33</v>
      </c>
      <c r="O74" s="52"/>
      <c r="P74" s="53"/>
      <c r="Q74" s="28"/>
      <c r="R74" s="67" t="s">
        <v>25</v>
      </c>
      <c r="S74" s="4">
        <f>(S71*($B$14*25.4/1000)^2/8)</f>
        <v>613.93198549336068</v>
      </c>
      <c r="T74" s="68" t="s">
        <v>33</v>
      </c>
      <c r="U74" s="20"/>
      <c r="V74" s="3"/>
      <c r="W74" s="67" t="s">
        <v>25</v>
      </c>
      <c r="X74" s="4">
        <f>(X71*($B$14*25.4/1000)^2/8)</f>
        <v>59.749281497271184</v>
      </c>
      <c r="Y74" s="68" t="s">
        <v>33</v>
      </c>
      <c r="Z74" s="3"/>
      <c r="AA74" s="28"/>
      <c r="AB74" s="67" t="s">
        <v>25</v>
      </c>
      <c r="AC74" s="4">
        <f>((AC71*($B$14*25.4/1000)^2/8))/3</f>
        <v>43.920353947120589</v>
      </c>
      <c r="AD74" s="68" t="s">
        <v>33</v>
      </c>
      <c r="AE74" s="20"/>
    </row>
    <row r="75" spans="1:31" ht="15" thickBot="1" x14ac:dyDescent="0.4">
      <c r="A75" s="28"/>
      <c r="B75" s="69" t="s">
        <v>26</v>
      </c>
      <c r="C75" s="70">
        <f>(C74*1000*1000)/($B$9*25.4^3)</f>
        <v>426.41932740701583</v>
      </c>
      <c r="D75" s="71" t="s">
        <v>35</v>
      </c>
      <c r="E75" s="50"/>
      <c r="F75" s="51"/>
      <c r="G75" s="69" t="s">
        <v>26</v>
      </c>
      <c r="H75" s="70">
        <f>(H74*1000*1000)/($B$9*25.4^3)</f>
        <v>902.17642823302481</v>
      </c>
      <c r="I75" s="71" t="s">
        <v>35</v>
      </c>
      <c r="J75" s="50"/>
      <c r="K75" s="51"/>
      <c r="L75" s="69" t="s">
        <v>26</v>
      </c>
      <c r="M75" s="70">
        <f>(M74*1000*1000)/($B$9*25.4^3)</f>
        <v>1498.3531772046149</v>
      </c>
      <c r="N75" s="71" t="s">
        <v>35</v>
      </c>
      <c r="O75" s="52"/>
      <c r="P75" s="53"/>
      <c r="Q75" s="28"/>
      <c r="R75" s="69" t="s">
        <v>26</v>
      </c>
      <c r="S75" s="70">
        <f>(S74*1000*1000)/($B$9*25.4^3)</f>
        <v>534.52551023196554</v>
      </c>
      <c r="T75" s="71" t="s">
        <v>35</v>
      </c>
      <c r="U75" s="20"/>
      <c r="V75" s="3"/>
      <c r="W75" s="69" t="s">
        <v>26</v>
      </c>
      <c r="X75" s="70">
        <f>(X74*1000*1000)/($B$9*25.4^3)</f>
        <v>52.021259574310953</v>
      </c>
      <c r="Y75" s="71" t="s">
        <v>35</v>
      </c>
      <c r="Z75" s="3"/>
      <c r="AA75" s="28"/>
      <c r="AB75" s="69" t="s">
        <v>26</v>
      </c>
      <c r="AC75" s="70">
        <f>(AC74*1000*1000)/($B$9*25.4^3)</f>
        <v>38.239658720969246</v>
      </c>
      <c r="AD75" s="71" t="s">
        <v>35</v>
      </c>
      <c r="AE75" s="20"/>
    </row>
    <row r="76" spans="1:31" ht="15" thickTop="1" x14ac:dyDescent="0.35">
      <c r="A76" s="29"/>
      <c r="B76" s="23"/>
      <c r="C76" s="23"/>
      <c r="D76" s="23"/>
      <c r="E76" s="23"/>
      <c r="F76" s="29"/>
      <c r="G76" s="23"/>
      <c r="H76" s="23"/>
      <c r="I76" s="23"/>
      <c r="J76" s="23"/>
      <c r="K76" s="29"/>
      <c r="L76" s="23"/>
      <c r="M76" s="23"/>
      <c r="N76" s="23"/>
      <c r="O76" s="24"/>
      <c r="Q76" s="29"/>
      <c r="R76" s="23"/>
      <c r="S76" s="23"/>
      <c r="T76" s="23"/>
      <c r="U76" s="24"/>
      <c r="V76" s="23"/>
      <c r="W76" s="23"/>
      <c r="X76" s="23"/>
      <c r="Y76" s="23"/>
      <c r="Z76" s="23"/>
      <c r="AA76" s="29"/>
      <c r="AB76" s="23"/>
      <c r="AC76" s="23"/>
      <c r="AD76" s="23"/>
      <c r="AE76" s="24"/>
    </row>
    <row r="78" spans="1:31" x14ac:dyDescent="0.35">
      <c r="A78" s="3" t="s">
        <v>139</v>
      </c>
      <c r="Q78" t="s">
        <v>49</v>
      </c>
    </row>
    <row r="79" spans="1:31" x14ac:dyDescent="0.35">
      <c r="A79" s="26"/>
      <c r="B79" s="27"/>
      <c r="C79" s="44" t="str">
        <f>G6</f>
        <v>Mode</v>
      </c>
      <c r="D79" s="45">
        <f>H6</f>
        <v>1</v>
      </c>
      <c r="E79" s="17"/>
      <c r="F79" s="26"/>
      <c r="G79" s="17"/>
      <c r="H79" s="44" t="str">
        <f>I6</f>
        <v>Mode</v>
      </c>
      <c r="I79" s="45">
        <f>J6</f>
        <v>1</v>
      </c>
      <c r="J79" s="17"/>
      <c r="K79" s="26"/>
      <c r="L79" s="17"/>
      <c r="M79" s="44" t="str">
        <f>K6</f>
        <v>Mode</v>
      </c>
      <c r="N79" s="45">
        <f>L6</f>
        <v>2</v>
      </c>
      <c r="O79" s="18"/>
      <c r="Q79" s="26"/>
      <c r="R79" s="27"/>
      <c r="S79" s="44" t="str">
        <f>C52</f>
        <v>Mode</v>
      </c>
      <c r="T79" s="45">
        <f>D52</f>
        <v>1</v>
      </c>
      <c r="U79" s="17"/>
      <c r="V79" s="26"/>
      <c r="W79" s="17"/>
      <c r="X79" s="44" t="str">
        <f>H52</f>
        <v>Mode</v>
      </c>
      <c r="Y79" s="45">
        <f>I52</f>
        <v>1</v>
      </c>
      <c r="Z79" s="17"/>
      <c r="AA79" s="26"/>
      <c r="AB79" s="17"/>
      <c r="AC79" s="44" t="str">
        <f>M52</f>
        <v>Mode</v>
      </c>
      <c r="AD79" s="45">
        <f>N52</f>
        <v>2</v>
      </c>
      <c r="AE79" s="18"/>
    </row>
    <row r="80" spans="1:31" x14ac:dyDescent="0.35">
      <c r="A80" s="29"/>
      <c r="B80" s="30"/>
      <c r="C80" s="31" t="s">
        <v>4</v>
      </c>
      <c r="D80" s="23"/>
      <c r="E80" s="23"/>
      <c r="F80" s="29"/>
      <c r="G80" s="23"/>
      <c r="H80" s="31" t="s">
        <v>5</v>
      </c>
      <c r="I80" s="23"/>
      <c r="J80" s="23"/>
      <c r="K80" s="29"/>
      <c r="L80" s="23"/>
      <c r="M80" s="31" t="s">
        <v>4</v>
      </c>
      <c r="N80" s="23"/>
      <c r="O80" s="24"/>
      <c r="Q80" s="29"/>
      <c r="R80" s="30"/>
      <c r="S80" s="31" t="s">
        <v>4</v>
      </c>
      <c r="T80" s="23"/>
      <c r="U80" s="23"/>
      <c r="V80" s="29"/>
      <c r="W80" s="23"/>
      <c r="X80" s="31" t="s">
        <v>5</v>
      </c>
      <c r="Y80" s="23"/>
      <c r="Z80" s="23"/>
      <c r="AA80" s="29"/>
      <c r="AB80" s="23"/>
      <c r="AC80" s="31" t="s">
        <v>4</v>
      </c>
      <c r="AD80" s="23"/>
      <c r="AE80" s="24"/>
    </row>
    <row r="81" spans="1:31" ht="15" thickBot="1" x14ac:dyDescent="0.4">
      <c r="A81" s="26"/>
      <c r="B81" s="27"/>
      <c r="C81" s="32"/>
      <c r="D81" s="17"/>
      <c r="E81" s="18"/>
      <c r="F81" s="3"/>
      <c r="G81" s="3"/>
      <c r="H81" s="22"/>
      <c r="I81" s="3"/>
      <c r="J81" s="3"/>
      <c r="K81" s="26"/>
      <c r="L81" s="17"/>
      <c r="M81" s="32"/>
      <c r="N81" s="17"/>
      <c r="O81" s="18"/>
      <c r="Q81" s="28"/>
      <c r="R81" s="2"/>
      <c r="S81" s="22"/>
      <c r="T81" s="3"/>
      <c r="U81" s="3"/>
      <c r="V81" s="28"/>
      <c r="W81" s="3"/>
      <c r="X81" s="22"/>
      <c r="Y81" s="3"/>
      <c r="Z81" s="3"/>
      <c r="AA81" s="28"/>
      <c r="AB81" s="3"/>
      <c r="AC81" s="22"/>
      <c r="AD81" s="3"/>
      <c r="AE81" s="20"/>
    </row>
    <row r="82" spans="1:31" ht="17.5" thickTop="1" thickBot="1" x14ac:dyDescent="0.5">
      <c r="A82" s="28"/>
      <c r="B82" s="46" t="s">
        <v>51</v>
      </c>
      <c r="C82" s="33">
        <f>IF(S13&gt;0,C56*(1+S14^2/D79^2)^0.5,C56*(1-S14^2/D79^2)^0.5)</f>
        <v>8.3280490854103491</v>
      </c>
      <c r="D82" s="34" t="s">
        <v>16</v>
      </c>
      <c r="E82" s="20"/>
      <c r="F82" s="3"/>
      <c r="G82" s="46" t="s">
        <v>51</v>
      </c>
      <c r="H82" s="33">
        <f>IF(S13&gt;0,H56*(1+S14^2/I79^2)^0.5,H56*(1-S14^2/I79^2)^0.5)</f>
        <v>12.113525942415052</v>
      </c>
      <c r="I82" s="34" t="s">
        <v>16</v>
      </c>
      <c r="J82" s="3"/>
      <c r="K82" s="28"/>
      <c r="L82" s="46" t="s">
        <v>51</v>
      </c>
      <c r="M82" s="33">
        <f>IF(S13&gt;0,M56*(1+S14^2/N79^2)^0.5,M56*(1-S14^2/N79^2)^0.5)</f>
        <v>26.995107159782549</v>
      </c>
      <c r="N82" s="34" t="s">
        <v>16</v>
      </c>
      <c r="O82" s="20"/>
      <c r="Q82" s="28"/>
      <c r="R82" s="46" t="s">
        <v>51</v>
      </c>
      <c r="S82" s="33">
        <f>IF(S19&gt;0,C56*(1+S20^2/T79^2)^0.5,C56*(1-S20^2/T79^2)^0.5)</f>
        <v>9.6954340288255718</v>
      </c>
      <c r="T82" s="34" t="s">
        <v>16</v>
      </c>
      <c r="U82" s="3"/>
      <c r="V82" s="28"/>
      <c r="W82" s="46" t="s">
        <v>51</v>
      </c>
      <c r="X82" s="33">
        <f>IF(S19&gt;0,H56*(1+S20^2/Y79^2)^0.5,H56*(1-S20^2/Y79^2)^0.5)</f>
        <v>14.102449496473557</v>
      </c>
      <c r="Y82" s="34" t="s">
        <v>16</v>
      </c>
      <c r="Z82" s="3"/>
      <c r="AA82" s="28"/>
      <c r="AB82" s="46" t="s">
        <v>51</v>
      </c>
      <c r="AC82" s="33">
        <f>IF(S19&gt;0,M56*(1+S20^2/AD79^2)^0.5,M56*(1-S20^2/AD79^2)^0.5)</f>
        <v>28.172400611153403</v>
      </c>
      <c r="AD82" s="34" t="s">
        <v>16</v>
      </c>
      <c r="AE82" s="20"/>
    </row>
    <row r="83" spans="1:31" ht="15" thickTop="1" x14ac:dyDescent="0.35">
      <c r="A83" s="28"/>
      <c r="B83" s="2"/>
      <c r="C83" s="4"/>
      <c r="D83" s="3"/>
      <c r="E83" s="20"/>
      <c r="F83" s="3"/>
      <c r="G83" s="3"/>
      <c r="H83" s="3"/>
      <c r="I83" s="3"/>
      <c r="J83" s="3"/>
      <c r="K83" s="28"/>
      <c r="L83" s="3"/>
      <c r="M83" s="3"/>
      <c r="N83" s="3"/>
      <c r="O83" s="20"/>
      <c r="Q83" s="28"/>
      <c r="R83" s="2"/>
      <c r="S83" s="4"/>
      <c r="T83" s="3"/>
      <c r="U83" s="3"/>
      <c r="V83" s="28"/>
      <c r="W83" s="3"/>
      <c r="X83" s="3"/>
      <c r="Y83" s="3"/>
      <c r="Z83" s="3"/>
      <c r="AA83" s="28"/>
      <c r="AB83" s="3"/>
      <c r="AC83" s="3"/>
      <c r="AD83" s="3"/>
      <c r="AE83" s="20"/>
    </row>
    <row r="84" spans="1:31" ht="18" thickBot="1" x14ac:dyDescent="0.5">
      <c r="A84" s="28"/>
      <c r="B84" s="79" t="s">
        <v>69</v>
      </c>
      <c r="C84" s="87">
        <f>C82*($B$7*25.4/1000)^2</f>
        <v>1.3754685818734953</v>
      </c>
      <c r="D84" s="88" t="s">
        <v>17</v>
      </c>
      <c r="E84" s="89"/>
      <c r="F84" s="88"/>
      <c r="G84" s="79" t="s">
        <v>69</v>
      </c>
      <c r="H84" s="87">
        <f>H82*($B$7*25.4/1000)^2</f>
        <v>2.0006815736341745</v>
      </c>
      <c r="I84" s="88" t="s">
        <v>17</v>
      </c>
      <c r="J84" s="88"/>
      <c r="K84" s="90"/>
      <c r="L84" s="79" t="s">
        <v>69</v>
      </c>
      <c r="M84" s="87">
        <f>M82*($B$7*25.4/1000)^2</f>
        <v>4.4585378138125593</v>
      </c>
      <c r="N84" s="88" t="s">
        <v>17</v>
      </c>
      <c r="O84" s="20"/>
      <c r="Q84" s="28"/>
      <c r="R84" s="2" t="s">
        <v>69</v>
      </c>
      <c r="S84" s="25">
        <f>S82*($B$7*25.4/1000)^2</f>
        <v>1.601307191817499</v>
      </c>
      <c r="T84" s="3" t="s">
        <v>17</v>
      </c>
      <c r="U84" s="3"/>
      <c r="V84" s="28"/>
      <c r="W84" s="2" t="s">
        <v>69</v>
      </c>
      <c r="X84" s="25">
        <f>X82*($B$7*25.4/1000)^2</f>
        <v>2.3291740971890893</v>
      </c>
      <c r="Y84" s="3" t="s">
        <v>17</v>
      </c>
      <c r="Z84" s="3"/>
      <c r="AA84" s="28"/>
      <c r="AB84" s="2" t="s">
        <v>69</v>
      </c>
      <c r="AC84" s="25">
        <f>AC82*($B$7*25.4/1000)^2</f>
        <v>4.6529807304426827</v>
      </c>
      <c r="AD84" s="3" t="s">
        <v>17</v>
      </c>
      <c r="AE84" s="20"/>
    </row>
    <row r="85" spans="1:31" ht="17.5" thickTop="1" thickBot="1" x14ac:dyDescent="0.5">
      <c r="A85" s="28"/>
      <c r="B85" s="35" t="s">
        <v>70</v>
      </c>
      <c r="C85" s="36">
        <f>IF(C84&gt;0.5,IF(C84&gt;0.75,5*C82*$B$7*25.4/1000,3*C82*$B$7*25.4/1000+1.5/($B$7*25.4/1000)),6*C82*($B$7*25.4/1000))</f>
        <v>16.922595741553828</v>
      </c>
      <c r="D85" s="37" t="s">
        <v>18</v>
      </c>
      <c r="E85" s="38" t="str">
        <f>IF(C85&gt;K11, "OK","Bad")</f>
        <v>Bad</v>
      </c>
      <c r="F85" s="3"/>
      <c r="G85" s="35" t="s">
        <v>70</v>
      </c>
      <c r="H85" s="36">
        <f>IF(H84&gt;0.5,IF(H84&gt;0.75,5*H82*$B$7*25.4/1000,3*H82*$B$7*25.4/1000+1.5/($B$7*25.4/1000)),6*H82*($B$7*25.4/1000))</f>
        <v>24.614684714987384</v>
      </c>
      <c r="I85" s="37" t="s">
        <v>18</v>
      </c>
      <c r="J85" s="22" t="str">
        <f>IF(H85&gt;K11, "OK","Bad")</f>
        <v>Bad</v>
      </c>
      <c r="K85" s="28"/>
      <c r="L85" s="35" t="s">
        <v>70</v>
      </c>
      <c r="M85" s="36">
        <f>IF(M84&gt;0.5,IF(M84&gt;0.75,5*M82*$B$7*25.4/1000,3*M82*$B$7*25.4/1000+1.5/($B$7*25.4/1000)),6*M82*($B$7*25.4/1000))</f>
        <v>54.85405774867813</v>
      </c>
      <c r="N85" s="37" t="s">
        <v>18</v>
      </c>
      <c r="O85" s="38" t="str">
        <f>IF(M85&gt;K11, "OK","Bad")</f>
        <v>Bad</v>
      </c>
      <c r="Q85" s="28"/>
      <c r="R85" s="35" t="s">
        <v>70</v>
      </c>
      <c r="S85" s="36">
        <f>IF(S84&gt;0.5,IF(S84&gt;0.75,5*S82*$B$7*25.4/1000,3*S82*$B$7*25.4/1000+1.5/($B$7*25.4/1000)),6*S82*($B$7*25.4/1000))</f>
        <v>19.701121946573561</v>
      </c>
      <c r="T85" s="37" t="s">
        <v>18</v>
      </c>
      <c r="U85" s="22" t="str">
        <f>IF(S85&gt;G11, "OK","Bad")</f>
        <v>Bad</v>
      </c>
      <c r="V85" s="28"/>
      <c r="W85" s="35" t="s">
        <v>70</v>
      </c>
      <c r="X85" s="36">
        <f>IF(X84&gt;0.5,IF(X84&gt;0.75,5*X82*$B$7*25.4/1000,3*X82*$B$7*25.4/1000+1.5/($B$7*25.4/1000)),6*X82*($B$7*25.4/1000))</f>
        <v>28.656177376834265</v>
      </c>
      <c r="Y85" s="37" t="s">
        <v>18</v>
      </c>
      <c r="Z85" s="22" t="str">
        <f>IF(X85&gt;G11, "OK","Bad")</f>
        <v>OK</v>
      </c>
      <c r="AA85" s="28"/>
      <c r="AB85" s="35" t="s">
        <v>70</v>
      </c>
      <c r="AC85" s="36">
        <f>IF(AC84&gt;0.5,IF(AC84&gt;0.75,5*AC82*$B$7*25.4/1000,3*AC82*$B$7*25.4/1000+1.5/($B$7*25.4/1000)),6*AC82*($B$7*25.4/1000))</f>
        <v>57.246318041863717</v>
      </c>
      <c r="AD85" s="37" t="s">
        <v>18</v>
      </c>
      <c r="AE85" s="38" t="str">
        <f>IF(AC85&gt;G11, "OK","Bad")</f>
        <v>OK</v>
      </c>
    </row>
    <row r="86" spans="1:31" ht="15" thickTop="1" x14ac:dyDescent="0.35">
      <c r="A86" s="28"/>
      <c r="B86" s="3"/>
      <c r="C86" s="3"/>
      <c r="D86" s="3"/>
      <c r="E86" s="20"/>
      <c r="F86" s="3"/>
      <c r="G86" s="3"/>
      <c r="H86" s="3"/>
      <c r="I86" s="3"/>
      <c r="J86" s="3"/>
      <c r="K86" s="28"/>
      <c r="L86" s="3"/>
      <c r="M86" s="3"/>
      <c r="N86" s="3"/>
      <c r="O86" s="20"/>
      <c r="Q86" s="28"/>
      <c r="R86" s="3"/>
      <c r="S86" s="3"/>
      <c r="T86" s="3"/>
      <c r="U86" s="3"/>
      <c r="V86" s="28"/>
      <c r="W86" s="3"/>
      <c r="X86" s="3"/>
      <c r="Y86" s="3"/>
      <c r="Z86" s="3"/>
      <c r="AA86" s="28"/>
      <c r="AB86" s="3"/>
      <c r="AC86" s="3"/>
      <c r="AD86" s="3"/>
      <c r="AE86" s="20"/>
    </row>
    <row r="87" spans="1:31" ht="16.5" x14ac:dyDescent="0.45">
      <c r="A87" s="28"/>
      <c r="B87" s="2" t="s">
        <v>105</v>
      </c>
      <c r="C87" s="4">
        <f>0.6*C85^2</f>
        <v>171.82454797923344</v>
      </c>
      <c r="D87" s="3" t="s">
        <v>29</v>
      </c>
      <c r="E87" s="20"/>
      <c r="F87" s="3"/>
      <c r="G87" s="2" t="s">
        <v>105</v>
      </c>
      <c r="H87" s="4">
        <f>0.6*H85^2</f>
        <v>363.52962217094012</v>
      </c>
      <c r="I87" s="3" t="s">
        <v>29</v>
      </c>
      <c r="J87" s="3"/>
      <c r="K87" s="28"/>
      <c r="L87" s="2" t="s">
        <v>105</v>
      </c>
      <c r="M87" s="4">
        <f>0.6*M85^2</f>
        <v>1805.3805908971892</v>
      </c>
      <c r="N87" s="3" t="s">
        <v>29</v>
      </c>
      <c r="O87" s="20"/>
      <c r="Q87" s="28"/>
      <c r="R87" s="2" t="s">
        <v>105</v>
      </c>
      <c r="S87" s="4">
        <f>0.6*S85^2</f>
        <v>232.88052357225746</v>
      </c>
      <c r="T87" s="3" t="s">
        <v>29</v>
      </c>
      <c r="U87" s="3"/>
      <c r="V87" s="28"/>
      <c r="W87" s="2" t="s">
        <v>105</v>
      </c>
      <c r="X87" s="4">
        <f>0.6*X85^2</f>
        <v>492.70590111155269</v>
      </c>
      <c r="Y87" s="3" t="s">
        <v>29</v>
      </c>
      <c r="Z87" s="3"/>
      <c r="AA87" s="28"/>
      <c r="AB87" s="2" t="s">
        <v>105</v>
      </c>
      <c r="AC87" s="4">
        <f>0.6*AC85^2</f>
        <v>1966.2845576101265</v>
      </c>
      <c r="AD87" s="3" t="s">
        <v>29</v>
      </c>
      <c r="AE87" s="20"/>
    </row>
    <row r="88" spans="1:31" x14ac:dyDescent="0.35">
      <c r="A88" s="28"/>
      <c r="B88" s="2" t="s">
        <v>19</v>
      </c>
      <c r="C88" s="4">
        <f>IF(C85&gt;10,IF(F43&lt;16,3*SQRT(F43)/4,3),IF(F43&gt;12,6,3*SQRT(F43)/4))</f>
        <v>3</v>
      </c>
      <c r="D88" s="3"/>
      <c r="E88" s="20"/>
      <c r="F88" s="3"/>
      <c r="G88" s="2" t="s">
        <v>19</v>
      </c>
      <c r="H88" s="4">
        <f>IF(H85&gt;10,IF(F43&lt;16,3*SQRT(F43)/4,3),IF(F43&gt;12,6,3*SQRT(F43)/4))</f>
        <v>3</v>
      </c>
      <c r="I88" s="3"/>
      <c r="J88" s="3"/>
      <c r="K88" s="28"/>
      <c r="L88" s="2" t="s">
        <v>19</v>
      </c>
      <c r="M88" s="4">
        <f>IF(M85&gt;10,IF(F43&lt;16,3*SQRT(F43)/4,3),IF(F43&gt;12,6,3*SQRT(F43)/4))</f>
        <v>3</v>
      </c>
      <c r="N88" s="3"/>
      <c r="O88" s="20"/>
      <c r="Q88" s="28"/>
      <c r="R88" s="2" t="s">
        <v>19</v>
      </c>
      <c r="S88" s="4">
        <f>IF(S85&gt;10,IF(F43&lt;16,3*SQRT(F43)/4,3),IF(F43&gt;12,6,3*SQRT(F43)/4))</f>
        <v>3</v>
      </c>
      <c r="T88" s="3"/>
      <c r="U88" s="3"/>
      <c r="V88" s="28"/>
      <c r="W88" s="2" t="s">
        <v>19</v>
      </c>
      <c r="X88" s="4">
        <f>IF(X85&gt;10,IF(F43&lt;16,3*SQRT(F43)/4,3),IF(F43&gt;12,6,3*SQRT(F43)/4))</f>
        <v>3</v>
      </c>
      <c r="Y88" s="3"/>
      <c r="Z88" s="3"/>
      <c r="AA88" s="28"/>
      <c r="AB88" s="2" t="s">
        <v>19</v>
      </c>
      <c r="AC88" s="4">
        <f>IF(AC85&gt;10,IF(F43&lt;16,3*SQRT(F43)/4,3),IF(F43&gt;12,6,3*SQRT(F43)/4))</f>
        <v>3</v>
      </c>
      <c r="AD88" s="3"/>
      <c r="AE88" s="20"/>
    </row>
    <row r="89" spans="1:31" x14ac:dyDescent="0.35">
      <c r="A89" s="28"/>
      <c r="B89" s="2" t="s">
        <v>20</v>
      </c>
      <c r="C89" s="3">
        <f>IF(C85&lt;10,IF(F43&gt;12,1.2,0.6),0.6)</f>
        <v>0.6</v>
      </c>
      <c r="D89" s="3"/>
      <c r="E89" s="20"/>
      <c r="F89" s="3"/>
      <c r="G89" s="2" t="s">
        <v>20</v>
      </c>
      <c r="H89" s="3">
        <f>IF(H85&lt;10,IF(F43&gt;12,1.2,0.6),0.6)</f>
        <v>0.6</v>
      </c>
      <c r="I89" s="3"/>
      <c r="J89" s="3"/>
      <c r="K89" s="28"/>
      <c r="L89" s="2" t="s">
        <v>20</v>
      </c>
      <c r="M89" s="3">
        <f>IF(M85&lt;10,IF(F43&gt;12,1.2,0.6),0.6)</f>
        <v>0.6</v>
      </c>
      <c r="N89" s="3"/>
      <c r="O89" s="20"/>
      <c r="Q89" s="28"/>
      <c r="R89" s="2" t="s">
        <v>20</v>
      </c>
      <c r="S89" s="3">
        <f>IF(S85&lt;10,IF(F43&gt;12,1.2,0.6),0.6)</f>
        <v>0.6</v>
      </c>
      <c r="T89" s="3"/>
      <c r="U89" s="3"/>
      <c r="V89" s="28"/>
      <c r="W89" s="2" t="s">
        <v>20</v>
      </c>
      <c r="X89" s="3">
        <f>IF(X85&lt;10,IF(F43&gt;12,1.2,0.6),0.6)</f>
        <v>0.6</v>
      </c>
      <c r="Y89" s="3"/>
      <c r="Z89" s="3"/>
      <c r="AA89" s="28"/>
      <c r="AB89" s="2" t="s">
        <v>20</v>
      </c>
      <c r="AC89" s="3">
        <f>IF(AC85&lt;10,IF(F43&gt;12,1.2,0.6),0.6)</f>
        <v>0.6</v>
      </c>
      <c r="AD89" s="3"/>
      <c r="AE89" s="20"/>
    </row>
    <row r="90" spans="1:31" x14ac:dyDescent="0.35">
      <c r="A90" s="28"/>
      <c r="B90" s="3"/>
      <c r="C90" s="3"/>
      <c r="D90" s="3"/>
      <c r="E90" s="20"/>
      <c r="F90" s="3"/>
      <c r="G90" s="3"/>
      <c r="H90" s="3"/>
      <c r="I90" s="3"/>
      <c r="J90" s="3"/>
      <c r="K90" s="28"/>
      <c r="L90" s="3"/>
      <c r="M90" s="3"/>
      <c r="N90" s="3"/>
      <c r="O90" s="20"/>
      <c r="Q90" s="28"/>
      <c r="R90" s="2"/>
      <c r="S90" s="3"/>
      <c r="T90" s="3"/>
      <c r="U90" s="3"/>
      <c r="V90" s="28"/>
      <c r="W90" s="2"/>
      <c r="X90" s="3"/>
      <c r="Y90" s="3"/>
      <c r="Z90" s="3"/>
      <c r="AA90" s="28"/>
      <c r="AB90" s="2"/>
      <c r="AC90" s="3"/>
      <c r="AD90" s="3"/>
      <c r="AE90" s="20"/>
    </row>
    <row r="91" spans="1:31" ht="17.5" x14ac:dyDescent="0.45">
      <c r="A91" s="7"/>
      <c r="B91" s="2" t="s">
        <v>108</v>
      </c>
      <c r="C91" s="21">
        <f>C89*$E$46*($B$7*25.4/1000)^2/($B$10*1.48816)</f>
        <v>1.3054842795036804E-3</v>
      </c>
      <c r="D91" s="3"/>
      <c r="E91" s="38" t="str">
        <f>IF(C91&lt;$B$18, "OK","Bad")</f>
        <v>OK</v>
      </c>
      <c r="F91" s="3"/>
      <c r="G91" s="2" t="s">
        <v>108</v>
      </c>
      <c r="H91" s="21">
        <f>H89*$E$46*($B$7*25.4/1000)^2/($B$10*1.48816)</f>
        <v>1.3054842795036804E-3</v>
      </c>
      <c r="I91" s="3"/>
      <c r="J91" s="22" t="str">
        <f>IF(H91&lt;$B$18, "OK","Bad")</f>
        <v>OK</v>
      </c>
      <c r="K91" s="28"/>
      <c r="L91" s="2" t="s">
        <v>108</v>
      </c>
      <c r="M91" s="21">
        <f>M89*$E$46*($B$7*25.4/1000)^2/($B$10*1.48816)</f>
        <v>1.3054842795036804E-3</v>
      </c>
      <c r="O91" s="38" t="str">
        <f>IF(M91&lt;$B$18, "OK","Bad")</f>
        <v>OK</v>
      </c>
      <c r="Q91" s="28"/>
      <c r="R91" s="2" t="s">
        <v>108</v>
      </c>
      <c r="S91" s="21">
        <f>S89*E46*($B$7*25.4/1000)^2/($B$10*1.48816)</f>
        <v>1.3054842795036804E-3</v>
      </c>
      <c r="T91" s="3"/>
      <c r="U91" s="22" t="str">
        <f>IF(S91&lt;$B$18, "OK","Bad")</f>
        <v>OK</v>
      </c>
      <c r="V91" s="28"/>
      <c r="W91" s="2" t="s">
        <v>108</v>
      </c>
      <c r="X91" s="21">
        <f>X89*E46*($B$7*25.4/1000)^2/($B$10*1.48816)</f>
        <v>1.3054842795036804E-3</v>
      </c>
      <c r="Y91" s="3"/>
      <c r="Z91" s="22" t="str">
        <f>IF(X91&lt;$B$18, "OK","Bad")</f>
        <v>OK</v>
      </c>
      <c r="AA91" s="28"/>
      <c r="AB91" s="2" t="s">
        <v>108</v>
      </c>
      <c r="AC91" s="21">
        <f>AC89*E46*($B$7*25.4/1000)^2/($B$10*1.48816)</f>
        <v>1.3054842795036804E-3</v>
      </c>
      <c r="AD91" s="3"/>
      <c r="AE91" s="38" t="str">
        <f>IF(AC91&lt;$B$18, "OK","Bad")</f>
        <v>OK</v>
      </c>
    </row>
    <row r="92" spans="1:31" x14ac:dyDescent="0.35">
      <c r="A92" s="7"/>
      <c r="E92" s="8"/>
      <c r="K92" s="7"/>
      <c r="O92" s="8"/>
      <c r="Q92" s="28"/>
      <c r="R92" s="3"/>
      <c r="S92" s="3"/>
      <c r="T92" s="3"/>
      <c r="U92" s="3"/>
      <c r="V92" s="28"/>
      <c r="W92" s="3"/>
      <c r="X92" s="3"/>
      <c r="Y92" s="3"/>
      <c r="Z92" s="3"/>
      <c r="AA92" s="28"/>
      <c r="AB92" s="3"/>
      <c r="AC92" s="3"/>
      <c r="AD92" s="3"/>
      <c r="AE92" s="20"/>
    </row>
    <row r="93" spans="1:31" ht="16.5" x14ac:dyDescent="0.45">
      <c r="A93" s="28"/>
      <c r="B93" s="11" t="s">
        <v>80</v>
      </c>
      <c r="C93" s="4">
        <f>IF($B$18&lt;C91,0,(C88*C87*($B$7*25.4/1000))/(SQRT(F43)*SQRT($B$18-C91)))</f>
        <v>376.72139878245139</v>
      </c>
      <c r="D93" s="3" t="s">
        <v>21</v>
      </c>
      <c r="E93" s="20"/>
      <c r="F93" s="3"/>
      <c r="G93" s="11" t="s">
        <v>80</v>
      </c>
      <c r="H93" s="4">
        <f>IF($B$18&lt;H91,0,(H88*H87*($B$7*25.4/1000))/(SQRT(F43)*SQRT($B$18-H91)))</f>
        <v>797.03039742402927</v>
      </c>
      <c r="I93" s="3" t="s">
        <v>21</v>
      </c>
      <c r="J93" s="3"/>
      <c r="K93" s="28"/>
      <c r="L93" s="11" t="s">
        <v>80</v>
      </c>
      <c r="M93" s="4">
        <f>IF($B$18&lt;M91,0,(M88*M87*($B$7*25.4/1000))/(SQRT(F43)*SQRT($B$18-M91)))</f>
        <v>3958.2557296741852</v>
      </c>
      <c r="N93" s="3" t="s">
        <v>21</v>
      </c>
      <c r="O93" s="20"/>
      <c r="Q93" s="28"/>
      <c r="R93" s="11" t="s">
        <v>80</v>
      </c>
      <c r="S93" s="4">
        <f>IF($B$18&lt;S91,0,(S88*S87*($B$7*25.4/1000))/(SQRT(F43)*SQRT($B$18-S91)))</f>
        <v>510.58523139507145</v>
      </c>
      <c r="T93" s="3" t="s">
        <v>21</v>
      </c>
      <c r="U93" s="3"/>
      <c r="V93" s="28"/>
      <c r="W93" s="11" t="s">
        <v>80</v>
      </c>
      <c r="X93" s="4">
        <f>IF($B$18&lt;X91,0,(X88*X87*($B$7*25.4/1000))/(SQRT(F43)*SQRT($B$18-X91)))</f>
        <v>1080.2464399763489</v>
      </c>
      <c r="Y93" s="3" t="s">
        <v>21</v>
      </c>
      <c r="Z93" s="3"/>
      <c r="AA93" s="28"/>
      <c r="AB93" s="11" t="s">
        <v>80</v>
      </c>
      <c r="AC93" s="4">
        <f>IF($B$18&lt;AC91,0,(AC88*AC87*($B$7*25.4/1000))/(SQRT(F43)*SQRT($B$18-AC91)))</f>
        <v>4311.0340033412795</v>
      </c>
      <c r="AD93" s="3" t="s">
        <v>21</v>
      </c>
      <c r="AE93" s="20"/>
    </row>
    <row r="94" spans="1:31" x14ac:dyDescent="0.35">
      <c r="A94" s="28"/>
      <c r="B94" s="3"/>
      <c r="C94" s="3"/>
      <c r="D94" s="3"/>
      <c r="E94" s="20"/>
      <c r="F94" s="3"/>
      <c r="G94" s="3"/>
      <c r="H94" s="3"/>
      <c r="I94" s="3"/>
      <c r="J94" s="3"/>
      <c r="K94" s="28"/>
      <c r="L94" s="3"/>
      <c r="M94" s="3"/>
      <c r="N94" s="3"/>
      <c r="O94" s="20"/>
      <c r="Q94" s="28"/>
      <c r="R94" s="3"/>
      <c r="S94" s="3"/>
      <c r="T94" s="3"/>
      <c r="U94" s="3"/>
      <c r="V94" s="28"/>
      <c r="W94" s="3"/>
      <c r="X94" s="3"/>
      <c r="Y94" s="3"/>
      <c r="Z94" s="3"/>
      <c r="AA94" s="28"/>
      <c r="AB94" s="3"/>
      <c r="AC94" s="3"/>
      <c r="AD94" s="3"/>
      <c r="AE94" s="20"/>
    </row>
    <row r="95" spans="1:31" ht="16.5" x14ac:dyDescent="0.35">
      <c r="A95" s="7"/>
      <c r="B95" s="78" t="s">
        <v>126</v>
      </c>
      <c r="C95" s="4">
        <f>IF((MAX(IF($V$29="Yes",$V$30,0),IF($W$29="Yes",$W$30,0),IF($Y$29="Yes",$Y$30,0)))/C82&gt;1,1,(MAX(IF($V$29="Yes",$V$30,0),IF($W$29="Yes",$W$30,0),IF($Y$29="Yes",$Y$30,0)))/C82)</f>
        <v>1</v>
      </c>
      <c r="D95" s="3"/>
      <c r="E95" s="20"/>
      <c r="G95" s="78" t="s">
        <v>126</v>
      </c>
      <c r="H95" s="4">
        <f>IF((MAX(IF($V$29="Yes",$V$30,0),IF($W$29="Yes",$W$30,0),IF($Y$29="Yes",$Y$30,0)))/H82&gt;1,1,(MAX(IF($V$29="Yes",$V$30,0),IF($W$29="Yes",$W$30,0),IF($Y$29="Yes",$Y$30,0)))/H82)</f>
        <v>1</v>
      </c>
      <c r="I95" s="3"/>
      <c r="J95" s="20"/>
      <c r="L95" s="78" t="s">
        <v>126</v>
      </c>
      <c r="M95" s="4">
        <f>IF((MAX(IF($V$29="Yes",$V$30,0),IF($W$29="Yes",$W$30,0),IF($Y$29="Yes",$Y$30,0)))/M82&gt;1,1,(MAX(IF($V$29="Yes",$V$30,0),IF($W$29="Yes",$W$30,0),IF($Y$29="Yes",$Y$30,0)))/M82)</f>
        <v>1</v>
      </c>
      <c r="N95" s="3"/>
      <c r="O95" s="20"/>
      <c r="Q95" s="28"/>
      <c r="R95" s="78" t="s">
        <v>126</v>
      </c>
      <c r="S95" s="4">
        <f>IF((MAX(IF($V$36="Yes",$V$37,0),IF($W$36="Yes",$W$37,0),IF($Y$36="Yes",$Y$37,0)))/S82&gt;1,1,(MAX(IF($V$36="Yes",$V$37,0),IF($W$36="Yes",$W$37,0),IF($Y$36="Yes",$Y$37,0)))/S82)</f>
        <v>1</v>
      </c>
      <c r="T95" s="3"/>
      <c r="U95" s="20"/>
      <c r="V95" s="28"/>
      <c r="W95" s="78" t="s">
        <v>126</v>
      </c>
      <c r="X95" s="4">
        <f>IF((MAX(IF($V$36="Yes",$V$37,0),IF($W$36="Yes",$W$37,0),IF($Y$36="Yes",$Y$37,0)))/X82&gt;1,1,(MAX(IF($V$36="Yes",$V$37,0),IF($W$36="Yes",$W$37,0),IF($Y$36="Yes",$Y$37,0)))/X82)</f>
        <v>0.69792979492680185</v>
      </c>
      <c r="Y95" s="3"/>
      <c r="Z95" s="20"/>
      <c r="AA95" s="28"/>
      <c r="AB95" s="78" t="s">
        <v>126</v>
      </c>
      <c r="AC95" s="4">
        <f>IF((MAX(IF($V$36="Yes",$V$37,0),IF($W$36="Yes",$W$37,0),IF($Y$36="Yes",$Y$37,0)))/AC82&gt;1,1,(MAX(IF($V$36="Yes",$V$37,0),IF($W$36="Yes",$W$37,0),IF($Y$36="Yes",$Y$37,0)))/AC82)</f>
        <v>0.34936744727187835</v>
      </c>
      <c r="AD95" s="3"/>
      <c r="AE95" s="20"/>
    </row>
    <row r="96" spans="1:31" x14ac:dyDescent="0.35">
      <c r="A96" s="82"/>
      <c r="B96" s="80" t="s">
        <v>127</v>
      </c>
      <c r="C96" s="84">
        <v>50</v>
      </c>
      <c r="E96" s="86" t="s">
        <v>131</v>
      </c>
      <c r="F96" s="81"/>
      <c r="G96" s="80" t="s">
        <v>127</v>
      </c>
      <c r="H96" s="84">
        <v>50</v>
      </c>
      <c r="J96" s="86" t="s">
        <v>131</v>
      </c>
      <c r="K96" s="82"/>
      <c r="L96" s="80" t="s">
        <v>127</v>
      </c>
      <c r="M96" s="84">
        <v>50</v>
      </c>
      <c r="O96" s="86" t="s">
        <v>131</v>
      </c>
      <c r="Q96" s="82"/>
      <c r="R96" s="80" t="s">
        <v>127</v>
      </c>
      <c r="S96" s="84">
        <v>50</v>
      </c>
      <c r="U96" s="86" t="s">
        <v>131</v>
      </c>
      <c r="V96" s="82"/>
      <c r="W96" s="80" t="s">
        <v>127</v>
      </c>
      <c r="X96" s="84">
        <v>2</v>
      </c>
      <c r="Z96" s="86" t="s">
        <v>131</v>
      </c>
      <c r="AA96" s="82"/>
      <c r="AB96" s="80" t="s">
        <v>127</v>
      </c>
      <c r="AC96" s="84">
        <v>1.2</v>
      </c>
      <c r="AE96" s="86" t="s">
        <v>131</v>
      </c>
    </row>
    <row r="97" spans="1:31" x14ac:dyDescent="0.35">
      <c r="A97" s="28"/>
      <c r="B97" s="2" t="s">
        <v>22</v>
      </c>
      <c r="C97" s="4">
        <f>(C96*C93/1000)</f>
        <v>18.836069939122567</v>
      </c>
      <c r="D97" s="3" t="s">
        <v>23</v>
      </c>
      <c r="E97" s="20"/>
      <c r="F97" s="3"/>
      <c r="G97" s="2" t="s">
        <v>22</v>
      </c>
      <c r="H97" s="4">
        <f>(H96*H93/1000)</f>
        <v>39.851519871201461</v>
      </c>
      <c r="I97" s="3" t="s">
        <v>23</v>
      </c>
      <c r="J97" s="3"/>
      <c r="K97" s="28"/>
      <c r="L97" s="2" t="s">
        <v>22</v>
      </c>
      <c r="M97" s="4">
        <f>(M96*M93/1000)</f>
        <v>197.91278648370925</v>
      </c>
      <c r="N97" s="3" t="s">
        <v>23</v>
      </c>
      <c r="O97" s="20"/>
      <c r="Q97" s="51"/>
      <c r="R97" s="2" t="s">
        <v>22</v>
      </c>
      <c r="S97" s="4">
        <f>(S96*S93/1000)</f>
        <v>25.529261569753572</v>
      </c>
      <c r="T97" s="3" t="s">
        <v>23</v>
      </c>
      <c r="U97" s="50"/>
      <c r="V97" s="51"/>
      <c r="W97" s="2" t="s">
        <v>22</v>
      </c>
      <c r="X97" s="4">
        <f>(X96*X93/1000)</f>
        <v>2.1604928799526979</v>
      </c>
      <c r="Y97" s="3" t="s">
        <v>23</v>
      </c>
      <c r="Z97" s="50"/>
      <c r="AA97" s="51"/>
      <c r="AB97" s="2" t="s">
        <v>22</v>
      </c>
      <c r="AC97" s="4">
        <f>(AC96*AC93/1000)</f>
        <v>5.1732408040095352</v>
      </c>
      <c r="AD97" s="3" t="s">
        <v>23</v>
      </c>
      <c r="AE97" s="20"/>
    </row>
    <row r="98" spans="1:31" ht="15" thickBot="1" x14ac:dyDescent="0.4">
      <c r="A98" s="28"/>
      <c r="B98" s="3"/>
      <c r="C98" s="3"/>
      <c r="D98" s="3"/>
      <c r="E98" s="20"/>
      <c r="F98" s="3"/>
      <c r="G98" s="3"/>
      <c r="H98" s="3"/>
      <c r="I98" s="3"/>
      <c r="J98" s="3"/>
      <c r="K98" s="28"/>
      <c r="L98" s="3"/>
      <c r="M98" s="3"/>
      <c r="N98" s="3"/>
      <c r="O98" s="20"/>
      <c r="Q98" s="51"/>
      <c r="R98" s="3"/>
      <c r="S98" s="3"/>
      <c r="T98" s="3"/>
      <c r="U98" s="50"/>
      <c r="V98" s="51"/>
      <c r="W98" s="3"/>
      <c r="X98" s="3"/>
      <c r="Y98" s="3"/>
      <c r="Z98" s="50"/>
      <c r="AA98" s="51"/>
      <c r="AB98" s="3"/>
      <c r="AC98" s="3"/>
      <c r="AD98" s="3"/>
      <c r="AE98" s="20"/>
    </row>
    <row r="99" spans="1:31" ht="15" thickTop="1" x14ac:dyDescent="0.35">
      <c r="A99" s="28"/>
      <c r="B99" s="64" t="s">
        <v>24</v>
      </c>
      <c r="C99" s="65">
        <f>C97</f>
        <v>18.836069939122567</v>
      </c>
      <c r="D99" s="66" t="s">
        <v>23</v>
      </c>
      <c r="E99" s="20"/>
      <c r="F99" s="3"/>
      <c r="G99" s="64" t="s">
        <v>24</v>
      </c>
      <c r="H99" s="65">
        <f>H97</f>
        <v>39.851519871201461</v>
      </c>
      <c r="I99" s="66" t="s">
        <v>23</v>
      </c>
      <c r="J99" s="3"/>
      <c r="K99" s="28"/>
      <c r="L99" s="64" t="s">
        <v>24</v>
      </c>
      <c r="M99" s="65">
        <f>M97</f>
        <v>197.91278648370925</v>
      </c>
      <c r="N99" s="66" t="s">
        <v>23</v>
      </c>
      <c r="O99" s="20"/>
      <c r="Q99" s="51"/>
      <c r="R99" s="64" t="s">
        <v>24</v>
      </c>
      <c r="S99" s="65">
        <f>S97</f>
        <v>25.529261569753572</v>
      </c>
      <c r="T99" s="66" t="s">
        <v>23</v>
      </c>
      <c r="U99" s="50"/>
      <c r="V99" s="51"/>
      <c r="W99" s="64" t="s">
        <v>24</v>
      </c>
      <c r="X99" s="65">
        <f>X97</f>
        <v>2.1604928799526979</v>
      </c>
      <c r="Y99" s="66" t="s">
        <v>23</v>
      </c>
      <c r="Z99" s="50"/>
      <c r="AA99" s="51"/>
      <c r="AB99" s="64" t="s">
        <v>24</v>
      </c>
      <c r="AC99" s="65">
        <f>AC97</f>
        <v>5.1732408040095352</v>
      </c>
      <c r="AD99" s="66" t="s">
        <v>23</v>
      </c>
      <c r="AE99" s="20"/>
    </row>
    <row r="100" spans="1:31" x14ac:dyDescent="0.35">
      <c r="A100" s="28"/>
      <c r="B100" s="67" t="s">
        <v>25</v>
      </c>
      <c r="C100" s="4">
        <f>(C97*($B$14*25.4/1000)^2/8)</f>
        <v>491.89953056571511</v>
      </c>
      <c r="D100" s="68" t="s">
        <v>33</v>
      </c>
      <c r="E100" s="20"/>
      <c r="F100" s="3"/>
      <c r="G100" s="67" t="s">
        <v>25</v>
      </c>
      <c r="H100" s="4">
        <f>(H97*($B$14*25.4/1000)^2/8)</f>
        <v>1040.7130564034962</v>
      </c>
      <c r="I100" s="68" t="s">
        <v>33</v>
      </c>
      <c r="J100" s="3"/>
      <c r="K100" s="28"/>
      <c r="L100" s="67" t="s">
        <v>25</v>
      </c>
      <c r="M100" s="4">
        <f>((M97*($B$14*25.4/1000)^2/8))/3</f>
        <v>1722.8152701869496</v>
      </c>
      <c r="N100" s="68" t="s">
        <v>33</v>
      </c>
      <c r="O100" s="20"/>
      <c r="Q100" s="51"/>
      <c r="R100" s="67" t="s">
        <v>25</v>
      </c>
      <c r="S100" s="4">
        <f>(S97*($B$14*25.4/1000)^2/8)</f>
        <v>666.69065375301477</v>
      </c>
      <c r="T100" s="68" t="s">
        <v>33</v>
      </c>
      <c r="U100" s="50"/>
      <c r="V100" s="51"/>
      <c r="W100" s="67" t="s">
        <v>25</v>
      </c>
      <c r="X100" s="4">
        <f>(X97*($B$14*25.4/1000)^2/8)</f>
        <v>56.420762763891467</v>
      </c>
      <c r="Y100" s="68" t="s">
        <v>33</v>
      </c>
      <c r="Z100" s="50"/>
      <c r="AA100" s="51"/>
      <c r="AB100" s="67" t="s">
        <v>25</v>
      </c>
      <c r="AC100" s="4">
        <f>((AC97*($B$14*25.4/1000)^2/8))/3</f>
        <v>45.032655099499884</v>
      </c>
      <c r="AD100" s="68" t="s">
        <v>33</v>
      </c>
      <c r="AE100" s="20"/>
    </row>
    <row r="101" spans="1:31" ht="15" thickBot="1" x14ac:dyDescent="0.4">
      <c r="A101" s="28"/>
      <c r="B101" s="69" t="s">
        <v>26</v>
      </c>
      <c r="C101" s="70">
        <f>(C100*1000*1000)/($B$9*25.4^3)</f>
        <v>428.27683484711787</v>
      </c>
      <c r="D101" s="71" t="s">
        <v>35</v>
      </c>
      <c r="E101" s="20"/>
      <c r="F101" s="3"/>
      <c r="G101" s="69" t="s">
        <v>26</v>
      </c>
      <c r="H101" s="70">
        <f>(H100*1000*1000)/($B$9*25.4^3)</f>
        <v>906.10636132943932</v>
      </c>
      <c r="I101" s="71" t="s">
        <v>35</v>
      </c>
      <c r="J101" s="3"/>
      <c r="K101" s="28"/>
      <c r="L101" s="69" t="s">
        <v>26</v>
      </c>
      <c r="M101" s="70">
        <f>(M100*1000*1000)/($B$9*25.4^3)</f>
        <v>1499.9849056440144</v>
      </c>
      <c r="N101" s="71" t="s">
        <v>35</v>
      </c>
      <c r="O101" s="20"/>
      <c r="Q101" s="51"/>
      <c r="R101" s="69" t="s">
        <v>26</v>
      </c>
      <c r="S101" s="70">
        <f>(S100*1000*1000)/($B$9*25.4^3)</f>
        <v>580.46032831769901</v>
      </c>
      <c r="T101" s="71" t="s">
        <v>35</v>
      </c>
      <c r="U101" s="50"/>
      <c r="V101" s="51"/>
      <c r="W101" s="69" t="s">
        <v>26</v>
      </c>
      <c r="X101" s="70">
        <f>(X100*1000*1000)/($B$9*25.4^3)</f>
        <v>49.123254231183751</v>
      </c>
      <c r="Y101" s="71" t="s">
        <v>35</v>
      </c>
      <c r="Z101" s="50"/>
      <c r="AA101" s="51"/>
      <c r="AB101" s="69" t="s">
        <v>26</v>
      </c>
      <c r="AC101" s="70">
        <f>(AC100*1000*1000)/($B$9*25.4^3)</f>
        <v>39.208093914208703</v>
      </c>
      <c r="AD101" s="71" t="s">
        <v>35</v>
      </c>
      <c r="AE101" s="20"/>
    </row>
    <row r="102" spans="1:31" ht="15" thickTop="1" x14ac:dyDescent="0.35">
      <c r="A102" s="29"/>
      <c r="B102" s="23"/>
      <c r="C102" s="23"/>
      <c r="D102" s="23"/>
      <c r="E102" s="24"/>
      <c r="F102" s="23"/>
      <c r="G102" s="23"/>
      <c r="H102" s="23"/>
      <c r="I102" s="23"/>
      <c r="J102" s="23"/>
      <c r="K102" s="29"/>
      <c r="L102" s="23"/>
      <c r="M102" s="23"/>
      <c r="N102" s="23"/>
      <c r="O102" s="24"/>
      <c r="Q102" s="29"/>
      <c r="R102" s="23"/>
      <c r="S102" s="23"/>
      <c r="T102" s="23"/>
      <c r="U102" s="23"/>
      <c r="V102" s="29"/>
      <c r="W102" s="23"/>
      <c r="X102" s="23"/>
      <c r="Y102" s="23"/>
      <c r="Z102" s="23"/>
      <c r="AA102" s="29"/>
      <c r="AB102" s="23"/>
      <c r="AC102" s="23"/>
      <c r="AD102" s="23"/>
      <c r="AE102" s="24"/>
    </row>
  </sheetData>
  <mergeCells count="3">
    <mergeCell ref="B6:D6"/>
    <mergeCell ref="W28:X28"/>
    <mergeCell ref="W35:X35"/>
  </mergeCells>
  <printOptions horizontalCentered="1"/>
  <pageMargins left="0.70866141732283472" right="0.70866141732283472" top="0.74803149606299213" bottom="0.74803149606299213" header="0.31496062992125984" footer="0.31496062992125984"/>
  <pageSetup paperSize="17" scale="42" orientation="landscape" r:id="rId1"/>
  <headerFooter>
    <oddFooter>&amp;L&amp;A&amp;C&amp;F&amp;R&amp;D, &amp;T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0F2F-C7A0-4E07-A5A2-F8FC3BFA95B4}">
  <sheetPr>
    <pageSetUpPr fitToPage="1"/>
  </sheetPr>
  <dimension ref="A1:AE102"/>
  <sheetViews>
    <sheetView zoomScaleNormal="100" workbookViewId="0"/>
  </sheetViews>
  <sheetFormatPr defaultRowHeight="14.5" x14ac:dyDescent="0.35"/>
  <cols>
    <col min="1" max="1" width="8.7265625" customWidth="1"/>
    <col min="2" max="2" width="10.7265625" customWidth="1"/>
    <col min="3" max="6" width="8.7265625" customWidth="1"/>
    <col min="7" max="7" width="10.7265625" customWidth="1"/>
    <col min="8" max="11" width="8.7265625" customWidth="1"/>
    <col min="12" max="12" width="10.7265625" customWidth="1"/>
    <col min="13" max="15" width="8.7265625" customWidth="1"/>
    <col min="17" max="17" width="8.7265625" customWidth="1"/>
    <col min="18" max="18" width="10.7265625" customWidth="1"/>
    <col min="19" max="22" width="8.7265625" customWidth="1"/>
    <col min="23" max="23" width="10.7265625" customWidth="1"/>
    <col min="24" max="27" width="8.7265625" customWidth="1"/>
    <col min="28" max="28" width="10.7265625" customWidth="1"/>
    <col min="29" max="31" width="8.7265625" customWidth="1"/>
  </cols>
  <sheetData>
    <row r="1" spans="1:25" x14ac:dyDescent="0.35">
      <c r="B1" s="3"/>
      <c r="C1" s="3"/>
      <c r="D1" s="3"/>
      <c r="E1" s="3"/>
      <c r="F1" s="14" t="s">
        <v>138</v>
      </c>
      <c r="G1" s="3"/>
      <c r="H1" s="3"/>
      <c r="I1" s="3"/>
      <c r="J1" s="3"/>
      <c r="K1" s="3"/>
    </row>
    <row r="2" spans="1:25" x14ac:dyDescent="0.35">
      <c r="B2" s="3"/>
      <c r="C2" s="3"/>
      <c r="D2" s="3"/>
      <c r="E2" s="3"/>
      <c r="F2" s="14" t="s">
        <v>28</v>
      </c>
      <c r="G2" s="3"/>
      <c r="H2" s="3"/>
      <c r="I2" s="3"/>
      <c r="J2" s="3"/>
      <c r="K2" s="3"/>
    </row>
    <row r="3" spans="1:25" x14ac:dyDescent="0.35">
      <c r="C3" s="3"/>
      <c r="D3" s="3"/>
      <c r="E3" s="3"/>
      <c r="F3" s="3"/>
      <c r="G3" s="3"/>
      <c r="H3" s="3"/>
      <c r="I3" s="3"/>
      <c r="J3" s="3"/>
      <c r="K3" s="3"/>
    </row>
    <row r="4" spans="1:25" ht="15" thickBot="1" x14ac:dyDescent="0.4">
      <c r="A4" s="15" t="s">
        <v>0</v>
      </c>
      <c r="B4" s="16"/>
      <c r="C4" s="3"/>
      <c r="D4" s="3"/>
      <c r="E4" s="3"/>
      <c r="F4" s="3"/>
      <c r="G4" s="3"/>
      <c r="H4" s="3"/>
      <c r="I4" s="3"/>
      <c r="J4" s="3"/>
      <c r="K4" s="3"/>
    </row>
    <row r="5" spans="1:25" x14ac:dyDescent="0.35">
      <c r="C5" s="3"/>
      <c r="D5" s="3"/>
      <c r="E5" s="3"/>
      <c r="G5" s="3"/>
      <c r="H5" s="3"/>
      <c r="I5" s="3"/>
      <c r="J5" s="3"/>
      <c r="K5" s="3"/>
    </row>
    <row r="6" spans="1:25" x14ac:dyDescent="0.35">
      <c r="A6" s="3" t="s">
        <v>1</v>
      </c>
      <c r="B6" s="93" t="s">
        <v>40</v>
      </c>
      <c r="C6" s="93"/>
      <c r="D6" s="93"/>
      <c r="E6" s="3"/>
      <c r="F6" s="3"/>
      <c r="G6" s="2" t="s">
        <v>47</v>
      </c>
      <c r="H6" s="6">
        <v>1</v>
      </c>
      <c r="I6" s="2" t="s">
        <v>47</v>
      </c>
      <c r="J6" s="6">
        <v>1</v>
      </c>
      <c r="K6" s="2" t="s">
        <v>47</v>
      </c>
      <c r="L6" s="6">
        <v>2</v>
      </c>
      <c r="R6" t="s">
        <v>41</v>
      </c>
      <c r="T6" s="3" t="s">
        <v>60</v>
      </c>
      <c r="U6" s="3"/>
      <c r="V6" s="3"/>
      <c r="W6" s="3"/>
      <c r="X6" s="3"/>
      <c r="Y6" s="3"/>
    </row>
    <row r="7" spans="1:25" x14ac:dyDescent="0.35">
      <c r="A7" s="2" t="s">
        <v>2</v>
      </c>
      <c r="B7" s="19">
        <f>406.4/25.4</f>
        <v>16</v>
      </c>
      <c r="C7" s="3" t="s">
        <v>115</v>
      </c>
      <c r="D7" s="3"/>
      <c r="E7" s="3"/>
      <c r="F7" s="3"/>
      <c r="G7" s="5" t="s">
        <v>4</v>
      </c>
      <c r="H7" s="3"/>
      <c r="I7" s="5" t="s">
        <v>5</v>
      </c>
      <c r="J7" s="5"/>
      <c r="K7" s="5" t="s">
        <v>4</v>
      </c>
      <c r="T7" s="3"/>
    </row>
    <row r="8" spans="1:25" ht="17.5" x14ac:dyDescent="0.45">
      <c r="A8" s="2" t="s">
        <v>3</v>
      </c>
      <c r="B8" s="55">
        <f>PI()*(B7^4-(B7-2*B15)^4)/64</f>
        <v>560.71304597693711</v>
      </c>
      <c r="C8" s="3" t="s">
        <v>71</v>
      </c>
      <c r="D8" s="3"/>
      <c r="E8" s="3"/>
      <c r="F8" s="5" t="s">
        <v>7</v>
      </c>
      <c r="G8" s="19">
        <v>15.4</v>
      </c>
      <c r="H8" s="3"/>
      <c r="I8" s="19">
        <v>22.4</v>
      </c>
      <c r="J8" s="5"/>
      <c r="K8" s="19">
        <v>50</v>
      </c>
      <c r="R8" s="73" t="s">
        <v>51</v>
      </c>
      <c r="S8" t="s">
        <v>52</v>
      </c>
      <c r="U8" s="9" t="s">
        <v>129</v>
      </c>
      <c r="W8" s="3"/>
      <c r="Y8" s="3"/>
    </row>
    <row r="9" spans="1:25" ht="16.5" x14ac:dyDescent="0.35">
      <c r="A9" s="2" t="s">
        <v>6</v>
      </c>
      <c r="B9" s="55">
        <f>B8/(B7/2)</f>
        <v>70.089130747117139</v>
      </c>
      <c r="C9" s="3" t="s">
        <v>72</v>
      </c>
      <c r="D9" s="3"/>
      <c r="E9" s="3"/>
      <c r="G9" s="3" t="s">
        <v>59</v>
      </c>
      <c r="R9" s="73" t="s">
        <v>42</v>
      </c>
      <c r="S9" t="s">
        <v>53</v>
      </c>
      <c r="V9" s="3"/>
      <c r="W9" s="3"/>
      <c r="Y9" s="3"/>
    </row>
    <row r="10" spans="1:25" ht="16.5" x14ac:dyDescent="0.45">
      <c r="A10" s="2" t="s">
        <v>30</v>
      </c>
      <c r="B10" s="55">
        <f>490.0595*B16/12^2</f>
        <v>62.484667642321241</v>
      </c>
      <c r="C10" s="3" t="s">
        <v>8</v>
      </c>
      <c r="D10" s="3"/>
      <c r="E10" s="3"/>
      <c r="R10" s="73" t="s">
        <v>54</v>
      </c>
      <c r="S10" t="s">
        <v>128</v>
      </c>
      <c r="V10" s="3"/>
      <c r="W10" s="3"/>
      <c r="Y10" s="3"/>
    </row>
    <row r="11" spans="1:25" ht="16.5" x14ac:dyDescent="0.35">
      <c r="A11" s="2" t="s">
        <v>31</v>
      </c>
      <c r="B11" s="56">
        <f>B10/12/386</f>
        <v>1.3489781442642755E-2</v>
      </c>
      <c r="C11" s="3" t="s">
        <v>73</v>
      </c>
      <c r="D11" s="3"/>
      <c r="E11" s="3"/>
      <c r="F11" s="1" t="s">
        <v>36</v>
      </c>
      <c r="G11" s="19">
        <v>20</v>
      </c>
      <c r="H11" s="6" t="s">
        <v>18</v>
      </c>
      <c r="I11" s="3"/>
      <c r="J11" s="1" t="s">
        <v>38</v>
      </c>
      <c r="K11" s="19">
        <v>63</v>
      </c>
      <c r="L11" s="6" t="s">
        <v>18</v>
      </c>
      <c r="R11" s="73" t="s">
        <v>32</v>
      </c>
      <c r="S11" t="s">
        <v>43</v>
      </c>
    </row>
    <row r="12" spans="1:25" ht="16.5" x14ac:dyDescent="0.35">
      <c r="A12" s="2" t="s">
        <v>10</v>
      </c>
      <c r="B12" s="57">
        <v>29000000</v>
      </c>
      <c r="C12" s="3" t="s">
        <v>74</v>
      </c>
      <c r="D12" s="3"/>
      <c r="E12" s="3"/>
      <c r="F12" s="2" t="s">
        <v>37</v>
      </c>
      <c r="G12" s="63">
        <f>0.6*G11^2</f>
        <v>240</v>
      </c>
      <c r="H12" s="6" t="s">
        <v>119</v>
      </c>
      <c r="I12" s="3"/>
      <c r="J12" s="2" t="s">
        <v>37</v>
      </c>
      <c r="K12" s="63">
        <f>0.6*K11^2</f>
        <v>2381.4</v>
      </c>
      <c r="L12" s="6" t="s">
        <v>119</v>
      </c>
      <c r="R12" s="73"/>
      <c r="V12" s="3"/>
      <c r="W12" s="3"/>
      <c r="Y12" s="3"/>
    </row>
    <row r="13" spans="1:25" x14ac:dyDescent="0.35">
      <c r="A13" s="2"/>
      <c r="B13" s="58"/>
      <c r="C13" s="3"/>
      <c r="D13" s="3"/>
      <c r="H13" s="3"/>
      <c r="I13" s="3"/>
      <c r="R13" s="73" t="s">
        <v>44</v>
      </c>
      <c r="S13" s="10">
        <f>291/2*224.8089431</f>
        <v>32709.70122105</v>
      </c>
      <c r="T13" t="s">
        <v>134</v>
      </c>
      <c r="V13" s="3"/>
      <c r="W13" s="3"/>
      <c r="Y13" s="3"/>
    </row>
    <row r="14" spans="1:25" x14ac:dyDescent="0.35">
      <c r="A14" s="2" t="s">
        <v>11</v>
      </c>
      <c r="B14" s="92">
        <f>7480/25.4</f>
        <v>294.48818897637796</v>
      </c>
      <c r="C14" s="3" t="s">
        <v>113</v>
      </c>
      <c r="D14" s="3"/>
      <c r="I14" s="3"/>
      <c r="J14" s="3"/>
      <c r="K14" s="3"/>
      <c r="R14" s="73" t="s">
        <v>42</v>
      </c>
      <c r="S14" s="43">
        <f>S13*B14^2/(B12*B8*PI()^2)</f>
        <v>1.767559066575309E-2</v>
      </c>
    </row>
    <row r="15" spans="1:25" x14ac:dyDescent="0.35">
      <c r="A15" s="2" t="s">
        <v>27</v>
      </c>
      <c r="B15" s="60">
        <f>9.5/25.4</f>
        <v>0.37401574803149606</v>
      </c>
      <c r="C15" s="3" t="s">
        <v>114</v>
      </c>
      <c r="D15" s="3"/>
      <c r="K15" s="3"/>
      <c r="U15" s="3"/>
      <c r="V15" s="3"/>
      <c r="W15" s="3"/>
      <c r="Y15" s="3"/>
    </row>
    <row r="16" spans="1:25" ht="16.5" x14ac:dyDescent="0.35">
      <c r="A16" s="2" t="s">
        <v>7</v>
      </c>
      <c r="B16" s="61">
        <f>PI()*(B7^2-(B7-2*B15)^2)/4</f>
        <v>18.360611600212341</v>
      </c>
      <c r="C16" s="3" t="s">
        <v>75</v>
      </c>
      <c r="D16" s="3"/>
      <c r="K16" s="3"/>
      <c r="R16" s="73" t="s">
        <v>44</v>
      </c>
      <c r="S16" s="10">
        <f>2220/2*224.8089431</f>
        <v>249537.92684099998</v>
      </c>
      <c r="T16" t="s">
        <v>45</v>
      </c>
      <c r="U16" s="3"/>
      <c r="V16" s="3"/>
      <c r="W16" s="3"/>
      <c r="Y16" s="3"/>
    </row>
    <row r="17" spans="1:25" x14ac:dyDescent="0.35">
      <c r="B17" s="11"/>
      <c r="R17" s="73" t="s">
        <v>42</v>
      </c>
      <c r="S17" s="43">
        <f>S16*B14^2/(B12*B8*PI()^2)</f>
        <v>0.13484471229543593</v>
      </c>
    </row>
    <row r="18" spans="1:25" x14ac:dyDescent="0.35">
      <c r="A18" s="2" t="s">
        <v>112</v>
      </c>
      <c r="B18" s="19">
        <v>0.01</v>
      </c>
      <c r="C18" t="s">
        <v>133</v>
      </c>
      <c r="F18" s="3" t="s">
        <v>82</v>
      </c>
      <c r="R18" s="73"/>
      <c r="U18" s="3"/>
    </row>
    <row r="19" spans="1:25" x14ac:dyDescent="0.35">
      <c r="A19" s="54" t="s">
        <v>104</v>
      </c>
      <c r="B19" s="49">
        <f>B14*25.4/1000</f>
        <v>7.48</v>
      </c>
      <c r="C19" s="6" t="s">
        <v>109</v>
      </c>
      <c r="E19" s="48"/>
      <c r="R19" s="73" t="s">
        <v>44</v>
      </c>
      <c r="S19" s="10">
        <f>(2220+430)/2*224.8089431</f>
        <v>297871.84960750001</v>
      </c>
      <c r="T19" t="s">
        <v>48</v>
      </c>
      <c r="U19" s="3"/>
    </row>
    <row r="20" spans="1:25" x14ac:dyDescent="0.35">
      <c r="A20" s="47"/>
      <c r="B20" s="3"/>
      <c r="E20" s="48"/>
      <c r="R20" s="73" t="s">
        <v>42</v>
      </c>
      <c r="S20" s="43">
        <f>S19*B14^2/(B12*B8*PI()^2)</f>
        <v>0.16096328269500237</v>
      </c>
      <c r="U20" s="3"/>
    </row>
    <row r="21" spans="1:25" x14ac:dyDescent="0.35">
      <c r="A21" s="2" t="s">
        <v>34</v>
      </c>
      <c r="B21" s="3" t="s">
        <v>110</v>
      </c>
      <c r="C21" s="3" t="s">
        <v>111</v>
      </c>
      <c r="E21" s="48"/>
      <c r="S21" s="43"/>
      <c r="U21" s="3"/>
    </row>
    <row r="22" spans="1:25" x14ac:dyDescent="0.35">
      <c r="A22" s="47"/>
      <c r="B22" s="3"/>
      <c r="E22" s="48"/>
      <c r="S22" s="43"/>
      <c r="U22" s="3"/>
    </row>
    <row r="23" spans="1:25" ht="15" thickBot="1" x14ac:dyDescent="0.4">
      <c r="A23" s="15" t="s">
        <v>12</v>
      </c>
      <c r="B23" s="16"/>
      <c r="C23" s="3"/>
      <c r="D23" s="3"/>
      <c r="L23" s="3"/>
      <c r="M23" s="3"/>
      <c r="N23" s="3"/>
      <c r="O23" s="3"/>
    </row>
    <row r="24" spans="1:25" x14ac:dyDescent="0.35">
      <c r="I24" s="3"/>
      <c r="J24" s="3"/>
      <c r="K24" s="3"/>
      <c r="L24" s="3"/>
      <c r="M24" s="3"/>
      <c r="N24" s="3"/>
      <c r="O24" s="3"/>
    </row>
    <row r="25" spans="1:25" ht="17.5" x14ac:dyDescent="0.45">
      <c r="B25" s="11" t="s">
        <v>55</v>
      </c>
      <c r="C25" t="s">
        <v>67</v>
      </c>
      <c r="D25" s="3"/>
      <c r="E25" s="3" t="s">
        <v>116</v>
      </c>
      <c r="H25" s="3" t="s">
        <v>59</v>
      </c>
      <c r="M25" s="3"/>
      <c r="N25" s="3"/>
      <c r="W25" s="91" t="s">
        <v>122</v>
      </c>
    </row>
    <row r="27" spans="1:25" ht="16.5" x14ac:dyDescent="0.35">
      <c r="A27" t="s">
        <v>57</v>
      </c>
      <c r="B27" s="11" t="s">
        <v>58</v>
      </c>
      <c r="C27" t="s">
        <v>66</v>
      </c>
      <c r="U27" s="3"/>
      <c r="W27" s="73" t="s">
        <v>121</v>
      </c>
      <c r="X27" s="11">
        <f>K11</f>
        <v>63</v>
      </c>
      <c r="Y27" s="83" t="str">
        <f>L11</f>
        <v>m/s</v>
      </c>
    </row>
    <row r="28" spans="1:25" ht="17.5" x14ac:dyDescent="0.35">
      <c r="B28" s="5" t="s">
        <v>3</v>
      </c>
      <c r="C28" t="s">
        <v>64</v>
      </c>
      <c r="E28" s="14"/>
      <c r="F28" s="14"/>
      <c r="G28" s="14"/>
      <c r="H28" s="3"/>
      <c r="U28" s="77" t="s">
        <v>125</v>
      </c>
      <c r="V28" s="76" t="s">
        <v>123</v>
      </c>
      <c r="W28" s="94" t="s">
        <v>136</v>
      </c>
      <c r="X28" s="94"/>
      <c r="Y28" s="76" t="s">
        <v>124</v>
      </c>
    </row>
    <row r="29" spans="1:25" x14ac:dyDescent="0.35">
      <c r="B29" s="11" t="s">
        <v>11</v>
      </c>
      <c r="C29" t="s">
        <v>63</v>
      </c>
      <c r="G29" s="3"/>
      <c r="N29" s="3"/>
      <c r="V29" s="11" t="str">
        <f>IF(V31&gt;0.75,"Yes","No")</f>
        <v>Yes</v>
      </c>
      <c r="W29" s="11" t="str">
        <f>IF(AND(W31&gt;0.5,V31&lt;0.75),"Yes","No")</f>
        <v>No</v>
      </c>
      <c r="Y29" s="11" t="str">
        <f>IF(Y31&lt;0.5,"Yes","No")</f>
        <v>No</v>
      </c>
    </row>
    <row r="30" spans="1:25" ht="17.5" x14ac:dyDescent="0.45">
      <c r="B30" s="5" t="s">
        <v>31</v>
      </c>
      <c r="C30" s="3" t="s">
        <v>65</v>
      </c>
      <c r="U30" s="73" t="s">
        <v>55</v>
      </c>
      <c r="V30" s="74">
        <f>V32/(5*$B$7*25.4/1000)</f>
        <v>31.003937007874015</v>
      </c>
      <c r="W30" s="74">
        <f>(W32-1.5/($B$7*25.4/1000))/(3*$B$7*25.4/1000)</f>
        <v>48.645878541757092</v>
      </c>
      <c r="Y30" s="74">
        <f>Y32/(6*($B$7*25.4/1000))</f>
        <v>25.836614173228352</v>
      </c>
    </row>
    <row r="31" spans="1:25" ht="17.5" x14ac:dyDescent="0.45">
      <c r="B31" s="11" t="s">
        <v>61</v>
      </c>
      <c r="C31" t="s">
        <v>62</v>
      </c>
      <c r="U31" s="2" t="s">
        <v>68</v>
      </c>
      <c r="V31" s="48">
        <f>V30*($B$7*25.4/1000)^2</f>
        <v>5.1206399999999999</v>
      </c>
      <c r="W31" s="48">
        <f>W30*($B$7*25.4/1000)^2</f>
        <v>8.0344000000000015</v>
      </c>
      <c r="Y31" s="48">
        <f>Y30*($B$7*25.4/1000)^2</f>
        <v>4.2672000000000008</v>
      </c>
    </row>
    <row r="32" spans="1:25" ht="16.5" x14ac:dyDescent="0.45">
      <c r="U32" s="2" t="s">
        <v>70</v>
      </c>
      <c r="V32" s="48">
        <f>X27</f>
        <v>63</v>
      </c>
      <c r="W32" s="48">
        <f>X27</f>
        <v>63</v>
      </c>
      <c r="Y32" s="48">
        <f>X27</f>
        <v>63</v>
      </c>
    </row>
    <row r="33" spans="1:25" ht="16.5" x14ac:dyDescent="0.45">
      <c r="B33" s="11" t="s">
        <v>78</v>
      </c>
      <c r="C33" s="3" t="s">
        <v>79</v>
      </c>
      <c r="E33" s="3" t="s">
        <v>91</v>
      </c>
      <c r="H33" s="3" t="s">
        <v>76</v>
      </c>
    </row>
    <row r="34" spans="1:25" ht="18.75" customHeight="1" x14ac:dyDescent="0.35">
      <c r="W34" s="2" t="s">
        <v>120</v>
      </c>
      <c r="X34" s="5">
        <f>G11</f>
        <v>20</v>
      </c>
      <c r="Y34" s="3" t="str">
        <f>H11</f>
        <v>m/s</v>
      </c>
    </row>
    <row r="35" spans="1:25" ht="16.5" x14ac:dyDescent="0.35">
      <c r="A35" s="2" t="s">
        <v>13</v>
      </c>
      <c r="B35" s="11" t="s">
        <v>6</v>
      </c>
      <c r="C35" s="3" t="s">
        <v>56</v>
      </c>
      <c r="E35" s="3" t="s">
        <v>77</v>
      </c>
      <c r="U35" s="75" t="s">
        <v>125</v>
      </c>
      <c r="V35" s="76" t="s">
        <v>123</v>
      </c>
      <c r="W35" s="94" t="s">
        <v>136</v>
      </c>
      <c r="X35" s="94"/>
      <c r="Y35" s="76" t="s">
        <v>124</v>
      </c>
    </row>
    <row r="36" spans="1:25" x14ac:dyDescent="0.35">
      <c r="B36" s="11" t="s">
        <v>2</v>
      </c>
      <c r="C36" s="3" t="s">
        <v>92</v>
      </c>
      <c r="V36" s="11" t="str">
        <f>IF(V38&gt;0.75,"Yes","No")</f>
        <v>Yes</v>
      </c>
      <c r="W36" s="11" t="str">
        <f>IF(AND(W38&gt;0.5,V38&lt;0.75),"Yes","No")</f>
        <v>No</v>
      </c>
      <c r="Y36" s="11" t="str">
        <f>IF(Y38&lt;0.5,"Yes","No")</f>
        <v>No</v>
      </c>
    </row>
    <row r="37" spans="1:25" ht="16.5" x14ac:dyDescent="0.45">
      <c r="B37" s="11" t="s">
        <v>55</v>
      </c>
      <c r="C37" s="3" t="s">
        <v>93</v>
      </c>
      <c r="U37" s="73" t="s">
        <v>55</v>
      </c>
      <c r="V37" s="74">
        <f>V39/(5*$B$7*25.4/1000)</f>
        <v>9.8425196850393704</v>
      </c>
      <c r="W37" s="74">
        <f>(W39-1.5/($B$7*25.4/1000))/(3*$B$7*25.4/1000)</f>
        <v>13.37684967036601</v>
      </c>
      <c r="Y37" s="74">
        <f>Y39/(6*($B$7*25.4/1000))</f>
        <v>8.2020997375328086</v>
      </c>
    </row>
    <row r="38" spans="1:25" ht="17.5" x14ac:dyDescent="0.45">
      <c r="U38" s="2" t="s">
        <v>68</v>
      </c>
      <c r="V38" s="48">
        <f>V37*($B$7*25.4/1000)^2</f>
        <v>1.6255999999999999</v>
      </c>
      <c r="W38" s="48">
        <f>W37*($B$7*25.4/1000)^2</f>
        <v>2.2093333333333338</v>
      </c>
      <c r="Y38" s="48">
        <f>Y37*($B$7*25.4/1000)^2</f>
        <v>1.3546666666666667</v>
      </c>
    </row>
    <row r="39" spans="1:25" ht="17.5" x14ac:dyDescent="0.45">
      <c r="B39" s="11" t="s">
        <v>80</v>
      </c>
      <c r="C39" s="3" t="s">
        <v>81</v>
      </c>
      <c r="G39" t="s">
        <v>117</v>
      </c>
      <c r="U39" s="2" t="s">
        <v>70</v>
      </c>
      <c r="V39" s="48">
        <f>X34</f>
        <v>20</v>
      </c>
      <c r="W39" s="48">
        <f>X34</f>
        <v>20</v>
      </c>
      <c r="Y39" s="48">
        <f>X34</f>
        <v>20</v>
      </c>
    </row>
    <row r="40" spans="1:25" x14ac:dyDescent="0.35">
      <c r="H40" s="3" t="s">
        <v>90</v>
      </c>
    </row>
    <row r="42" spans="1:25" ht="16.5" x14ac:dyDescent="0.45">
      <c r="A42" s="2" t="s">
        <v>13</v>
      </c>
      <c r="B42" s="11" t="s">
        <v>88</v>
      </c>
      <c r="C42" s="3" t="s">
        <v>89</v>
      </c>
    </row>
    <row r="43" spans="1:25" x14ac:dyDescent="0.35">
      <c r="B43" s="47" t="s">
        <v>83</v>
      </c>
      <c r="C43" t="s">
        <v>94</v>
      </c>
      <c r="E43" s="11" t="s">
        <v>9</v>
      </c>
      <c r="F43" s="48">
        <f>B19/(B7*25.4/1000)</f>
        <v>18.405511811023622</v>
      </c>
    </row>
    <row r="44" spans="1:25" ht="17.5" x14ac:dyDescent="0.45">
      <c r="B44" s="47" t="s">
        <v>84</v>
      </c>
      <c r="C44" s="3" t="s">
        <v>95</v>
      </c>
      <c r="I44" s="6" t="s">
        <v>118</v>
      </c>
    </row>
    <row r="45" spans="1:25" ht="16.5" x14ac:dyDescent="0.45">
      <c r="B45" s="47" t="s">
        <v>87</v>
      </c>
      <c r="C45" t="s">
        <v>96</v>
      </c>
    </row>
    <row r="46" spans="1:25" ht="16.5" x14ac:dyDescent="0.35">
      <c r="B46" s="47" t="s">
        <v>85</v>
      </c>
      <c r="C46" s="3" t="s">
        <v>97</v>
      </c>
      <c r="D46" s="3"/>
      <c r="E46" s="62">
        <v>1.2</v>
      </c>
      <c r="F46" t="s">
        <v>98</v>
      </c>
    </row>
    <row r="47" spans="1:25" x14ac:dyDescent="0.35">
      <c r="B47" s="47" t="s">
        <v>2</v>
      </c>
      <c r="C47" t="s">
        <v>99</v>
      </c>
    </row>
    <row r="48" spans="1:25" x14ac:dyDescent="0.35">
      <c r="B48" s="47" t="s">
        <v>39</v>
      </c>
      <c r="C48" s="3" t="s">
        <v>100</v>
      </c>
    </row>
    <row r="49" spans="1:31" ht="17.5" x14ac:dyDescent="0.45">
      <c r="B49" s="47" t="s">
        <v>86</v>
      </c>
      <c r="C49" t="s">
        <v>102</v>
      </c>
      <c r="I49" s="11" t="s">
        <v>103</v>
      </c>
      <c r="J49" t="s">
        <v>101</v>
      </c>
    </row>
    <row r="50" spans="1:31" x14ac:dyDescent="0.35">
      <c r="B50" s="47"/>
    </row>
    <row r="51" spans="1:31" x14ac:dyDescent="0.35">
      <c r="A51" s="3" t="s">
        <v>46</v>
      </c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Q51" s="3"/>
      <c r="R51" s="3"/>
      <c r="AD51" s="3"/>
      <c r="AE51" s="3"/>
    </row>
    <row r="52" spans="1:31" x14ac:dyDescent="0.35">
      <c r="A52" s="26"/>
      <c r="B52" s="27"/>
      <c r="C52" s="44" t="str">
        <f>G6</f>
        <v>Mode</v>
      </c>
      <c r="D52" s="45">
        <f>H6</f>
        <v>1</v>
      </c>
      <c r="E52" s="17"/>
      <c r="F52" s="26"/>
      <c r="G52" s="17"/>
      <c r="H52" s="44" t="str">
        <f>I6</f>
        <v>Mode</v>
      </c>
      <c r="I52" s="45">
        <f>J6</f>
        <v>1</v>
      </c>
      <c r="J52" s="17"/>
      <c r="K52" s="26"/>
      <c r="L52" s="17"/>
      <c r="M52" s="44" t="str">
        <f>K6</f>
        <v>Mode</v>
      </c>
      <c r="N52" s="45">
        <f>L6</f>
        <v>2</v>
      </c>
      <c r="O52" s="18"/>
      <c r="Q52" t="s">
        <v>50</v>
      </c>
    </row>
    <row r="53" spans="1:31" x14ac:dyDescent="0.35">
      <c r="A53" s="29"/>
      <c r="B53" s="30"/>
      <c r="C53" s="31" t="s">
        <v>4</v>
      </c>
      <c r="D53" s="23"/>
      <c r="E53" s="23"/>
      <c r="F53" s="29"/>
      <c r="G53" s="23"/>
      <c r="H53" s="31" t="s">
        <v>5</v>
      </c>
      <c r="I53" s="23"/>
      <c r="J53" s="23"/>
      <c r="K53" s="29"/>
      <c r="L53" s="23"/>
      <c r="M53" s="31" t="s">
        <v>4</v>
      </c>
      <c r="N53" s="23"/>
      <c r="O53" s="24"/>
      <c r="Q53" s="26"/>
      <c r="R53" s="27"/>
      <c r="S53" s="44" t="str">
        <f>C52</f>
        <v>Mode</v>
      </c>
      <c r="T53" s="45">
        <f>D52</f>
        <v>1</v>
      </c>
      <c r="U53" s="17"/>
      <c r="V53" s="26"/>
      <c r="W53" s="17"/>
      <c r="X53" s="44" t="str">
        <f>H52</f>
        <v>Mode</v>
      </c>
      <c r="Y53" s="45">
        <f>I52</f>
        <v>1</v>
      </c>
      <c r="Z53" s="17"/>
      <c r="AA53" s="26"/>
      <c r="AB53" s="17"/>
      <c r="AC53" s="44" t="str">
        <f>M52</f>
        <v>Mode</v>
      </c>
      <c r="AD53" s="45">
        <f>N52</f>
        <v>2</v>
      </c>
      <c r="AE53" s="18"/>
    </row>
    <row r="54" spans="1:31" ht="15" thickBot="1" x14ac:dyDescent="0.4">
      <c r="A54" s="28"/>
      <c r="B54" s="2" t="s">
        <v>15</v>
      </c>
      <c r="C54" s="3" t="s">
        <v>15</v>
      </c>
      <c r="D54" s="3"/>
      <c r="E54" s="3"/>
      <c r="F54" s="28" t="s">
        <v>15</v>
      </c>
      <c r="G54" s="3"/>
      <c r="H54" s="3"/>
      <c r="I54" s="3"/>
      <c r="J54" s="3"/>
      <c r="K54" s="26"/>
      <c r="L54" s="17"/>
      <c r="M54" s="17"/>
      <c r="N54" s="17"/>
      <c r="O54" s="18"/>
      <c r="Q54" s="29"/>
      <c r="R54" s="30"/>
      <c r="S54" s="31" t="s">
        <v>4</v>
      </c>
      <c r="T54" s="23"/>
      <c r="U54" s="23"/>
      <c r="V54" s="29"/>
      <c r="W54" s="23"/>
      <c r="X54" s="31" t="s">
        <v>5</v>
      </c>
      <c r="Y54" s="23"/>
      <c r="Z54" s="23"/>
      <c r="AA54" s="29"/>
      <c r="AB54" s="23"/>
      <c r="AC54" s="31" t="s">
        <v>4</v>
      </c>
      <c r="AD54" s="23"/>
      <c r="AE54" s="24"/>
    </row>
    <row r="55" spans="1:31" ht="17.5" thickTop="1" thickBot="1" x14ac:dyDescent="0.5">
      <c r="A55" s="28"/>
      <c r="B55" s="12" t="s">
        <v>55</v>
      </c>
      <c r="C55" s="39">
        <f>$G$8*SQRT($B$12*$B$8/($B$11*$B$14^4))</f>
        <v>194.96283482388964</v>
      </c>
      <c r="D55" s="40" t="s">
        <v>14</v>
      </c>
      <c r="E55" s="3"/>
      <c r="F55" s="28"/>
      <c r="G55" s="12" t="s">
        <v>55</v>
      </c>
      <c r="H55" s="39">
        <f>$I$8*SQRT($B$12*$B$8/($B$11*$B$14^4))</f>
        <v>283.58230519838492</v>
      </c>
      <c r="I55" s="40" t="s">
        <v>14</v>
      </c>
      <c r="J55" s="3"/>
      <c r="K55" s="28"/>
      <c r="L55" s="12" t="s">
        <v>55</v>
      </c>
      <c r="M55" s="39">
        <f>$K$8*SQRT($B$12*$B$8/($B$11*$B$14^4))</f>
        <v>632.99621696068061</v>
      </c>
      <c r="N55" s="40" t="s">
        <v>14</v>
      </c>
      <c r="O55" s="20"/>
      <c r="Q55" s="26"/>
      <c r="R55" s="27"/>
      <c r="S55" s="32"/>
      <c r="T55" s="17"/>
      <c r="U55" s="18"/>
      <c r="V55" s="3"/>
      <c r="W55" s="3"/>
      <c r="X55" s="22"/>
      <c r="Y55" s="3"/>
      <c r="Z55" s="3"/>
      <c r="AA55" s="26"/>
      <c r="AB55" s="17"/>
      <c r="AC55" s="32"/>
      <c r="AD55" s="17"/>
      <c r="AE55" s="18"/>
    </row>
    <row r="56" spans="1:31" ht="17.5" thickTop="1" thickBot="1" x14ac:dyDescent="0.5">
      <c r="A56" s="28"/>
      <c r="B56" s="13" t="s">
        <v>55</v>
      </c>
      <c r="C56" s="41">
        <f>C55/(2*3.14159)</f>
        <v>31.029325090780407</v>
      </c>
      <c r="D56" s="42" t="s">
        <v>16</v>
      </c>
      <c r="E56" s="3"/>
      <c r="F56" s="28"/>
      <c r="G56" s="13" t="s">
        <v>55</v>
      </c>
      <c r="H56" s="41">
        <f>H55/(2*3.14159)</f>
        <v>45.133563768407868</v>
      </c>
      <c r="I56" s="42" t="s">
        <v>16</v>
      </c>
      <c r="J56" s="3"/>
      <c r="K56" s="28"/>
      <c r="L56" s="13" t="s">
        <v>55</v>
      </c>
      <c r="M56" s="41">
        <f>M55/(2*3.14159)</f>
        <v>100.74456198305327</v>
      </c>
      <c r="N56" s="42" t="s">
        <v>16</v>
      </c>
      <c r="O56" s="20"/>
      <c r="Q56" s="28"/>
      <c r="R56" s="46" t="s">
        <v>51</v>
      </c>
      <c r="S56" s="33">
        <f>IF(S16&gt;0,C56*(1+S17^2/T53^2)^0.5,C56*(1-S17^2/T53^2)^0.5)</f>
        <v>31.310158840196287</v>
      </c>
      <c r="T56" s="34" t="s">
        <v>16</v>
      </c>
      <c r="U56" s="20"/>
      <c r="V56" s="3"/>
      <c r="W56" s="46" t="s">
        <v>51</v>
      </c>
      <c r="X56" s="33">
        <f>IF(S16&gt;0,H56*(1+S17^2/Y53^2)^0.5,H56*(1-S17^2/Y53^2)^0.5)</f>
        <v>45.542049222103692</v>
      </c>
      <c r="Y56" s="34" t="s">
        <v>16</v>
      </c>
      <c r="Z56" s="3"/>
      <c r="AA56" s="28"/>
      <c r="AB56" s="46" t="s">
        <v>51</v>
      </c>
      <c r="AC56" s="33">
        <f>IF(S16&gt;0,M56*(1+S17^2/AD53^2)^0.5,M56*(1-S17^2/AD53^2)^0.5)</f>
        <v>100.97328335956833</v>
      </c>
      <c r="AD56" s="34" t="s">
        <v>16</v>
      </c>
      <c r="AE56" s="20"/>
    </row>
    <row r="57" spans="1:31" ht="15" thickTop="1" x14ac:dyDescent="0.35">
      <c r="A57" s="28"/>
      <c r="B57" s="2"/>
      <c r="C57" s="4"/>
      <c r="D57" s="3"/>
      <c r="E57" s="3"/>
      <c r="F57" s="28"/>
      <c r="G57" s="3"/>
      <c r="H57" s="3"/>
      <c r="I57" s="3"/>
      <c r="J57" s="3"/>
      <c r="K57" s="28"/>
      <c r="L57" s="3"/>
      <c r="M57" s="3"/>
      <c r="N57" s="3"/>
      <c r="O57" s="20"/>
      <c r="Q57" s="28"/>
      <c r="R57" s="2"/>
      <c r="S57" s="4"/>
      <c r="T57" s="3"/>
      <c r="U57" s="20"/>
      <c r="V57" s="3"/>
      <c r="W57" s="3"/>
      <c r="X57" s="3"/>
      <c r="Y57" s="3"/>
      <c r="Z57" s="3"/>
      <c r="AA57" s="28"/>
      <c r="AB57" s="3"/>
      <c r="AC57" s="3"/>
      <c r="AD57" s="3"/>
      <c r="AE57" s="20"/>
    </row>
    <row r="58" spans="1:31" ht="18" thickBot="1" x14ac:dyDescent="0.5">
      <c r="A58" s="28"/>
      <c r="B58" s="2" t="s">
        <v>68</v>
      </c>
      <c r="C58" s="25">
        <f>C56*($B$7*25.4/1000)^2</f>
        <v>5.1248331201453787</v>
      </c>
      <c r="D58" s="3" t="s">
        <v>17</v>
      </c>
      <c r="E58" s="3"/>
      <c r="F58" s="28"/>
      <c r="G58" s="2" t="s">
        <v>68</v>
      </c>
      <c r="H58" s="25">
        <f>H56*($B$7*25.4/1000)^2</f>
        <v>7.4543027202114605</v>
      </c>
      <c r="I58" s="3" t="s">
        <v>17</v>
      </c>
      <c r="J58" s="3"/>
      <c r="K58" s="28"/>
      <c r="L58" s="2" t="s">
        <v>68</v>
      </c>
      <c r="M58" s="25">
        <f>M56*($B$7*25.4/1000)^2</f>
        <v>16.63906857190058</v>
      </c>
      <c r="N58" s="3" t="s">
        <v>17</v>
      </c>
      <c r="O58" s="20"/>
      <c r="Q58" s="28"/>
      <c r="R58" s="2" t="s">
        <v>69</v>
      </c>
      <c r="S58" s="25">
        <f>S56*($B$7*25.4/1000)^2</f>
        <v>5.1712158917993056</v>
      </c>
      <c r="T58" s="3" t="s">
        <v>17</v>
      </c>
      <c r="U58" s="20"/>
      <c r="V58" s="3"/>
      <c r="W58" s="2" t="s">
        <v>69</v>
      </c>
      <c r="X58" s="25">
        <f>X56*($B$7*25.4/1000)^2</f>
        <v>7.5217685698898986</v>
      </c>
      <c r="Y58" s="3" t="s">
        <v>17</v>
      </c>
      <c r="Z58" s="3"/>
      <c r="AA58" s="28"/>
      <c r="AB58" s="2" t="s">
        <v>69</v>
      </c>
      <c r="AC58" s="25">
        <f>AC56*($B$7*25.4/1000)^2</f>
        <v>16.67684441401833</v>
      </c>
      <c r="AD58" s="3" t="s">
        <v>17</v>
      </c>
      <c r="AE58" s="20"/>
    </row>
    <row r="59" spans="1:31" ht="17.5" thickTop="1" thickBot="1" x14ac:dyDescent="0.5">
      <c r="A59" s="28"/>
      <c r="B59" s="35" t="s">
        <v>70</v>
      </c>
      <c r="C59" s="36">
        <f>IF(C58&gt;0.5,IF(C58&gt;0.75,5*C56*$B$7*25.4/1000,3*C56*$B$7*25.4/1000+1.5/($B$7*25.4/1000)),6*C56*($B$7*25.4/1000))</f>
        <v>63.051588584465783</v>
      </c>
      <c r="D59" s="37" t="s">
        <v>18</v>
      </c>
      <c r="E59" s="22" t="str">
        <f>IF(C59&gt;K11, "OK","Bad")</f>
        <v>OK</v>
      </c>
      <c r="F59" s="28"/>
      <c r="G59" s="35" t="s">
        <v>70</v>
      </c>
      <c r="H59" s="36">
        <f>IF(H58&gt;0.5,IF(H58&gt;0.75,5*H56*$B$7*25.4/1000,3*H56*$B$7*25.4/1000+1.5/($B$7*25.4/1000)),6*H56*($B$7*25.4/1000))</f>
        <v>91.711401577404786</v>
      </c>
      <c r="I59" s="37" t="s">
        <v>18</v>
      </c>
      <c r="J59" s="22" t="str">
        <f>IF(H59&gt;K11, "OK","Bad")</f>
        <v>OK</v>
      </c>
      <c r="K59" s="28"/>
      <c r="L59" s="35" t="s">
        <v>70</v>
      </c>
      <c r="M59" s="36">
        <f>IF(M58&gt;0.5,IF(M58&gt;0.75,5*M56*$B$7*25.4/1000,3*M56*$B$7*25.4/1000+1.5/($B$7*25.4/1000)),6*M56*($B$7*25.4/1000))</f>
        <v>204.71294994956423</v>
      </c>
      <c r="N59" s="37" t="s">
        <v>18</v>
      </c>
      <c r="O59" s="38" t="str">
        <f>IF(M59&gt;K11, "OK","Bad")</f>
        <v>OK</v>
      </c>
      <c r="Q59" s="28"/>
      <c r="R59" s="35" t="s">
        <v>70</v>
      </c>
      <c r="S59" s="36">
        <f>IF(S58&gt;0.5,IF(S58&gt;0.75,5*S56*$B$7*25.4/1000,3*S56*$B$7*25.4/1000+1.5/($B$7*25.4/1000)),6*S56*($B$7*25.4/1000))</f>
        <v>63.622242763278855</v>
      </c>
      <c r="T59" s="37" t="s">
        <v>18</v>
      </c>
      <c r="U59" s="38" t="str">
        <f>IF(S59&gt;G11, "OK","Bad")</f>
        <v>OK</v>
      </c>
      <c r="V59" s="3"/>
      <c r="W59" s="35" t="s">
        <v>70</v>
      </c>
      <c r="X59" s="36">
        <f>IF(X58&gt;0.5,IF(X58&gt;0.75,5*X56*$B$7*25.4/1000,3*X56*$B$7*25.4/1000+1.5/($B$7*25.4/1000)),6*X56*($B$7*25.4/1000))</f>
        <v>92.541444019314696</v>
      </c>
      <c r="Y59" s="37" t="s">
        <v>18</v>
      </c>
      <c r="Z59" s="22" t="str">
        <f>IF(X59&gt;G11, "OK","Bad")</f>
        <v>OK</v>
      </c>
      <c r="AA59" s="28"/>
      <c r="AB59" s="35" t="s">
        <v>70</v>
      </c>
      <c r="AC59" s="36">
        <f>IF(AC58&gt;0.5,IF(AC58&gt;0.75,5*AC56*$B$7*25.4/1000,3*AC56*$B$7*25.4/1000+1.5/($B$7*25.4/1000)),6*AC56*($B$7*25.4/1000))</f>
        <v>205.17771178664282</v>
      </c>
      <c r="AD59" s="37" t="s">
        <v>18</v>
      </c>
      <c r="AE59" s="38" t="str">
        <f>IF(AC59&gt;G11, "OK","Bad")</f>
        <v>OK</v>
      </c>
    </row>
    <row r="60" spans="1:31" ht="15" thickTop="1" x14ac:dyDescent="0.35">
      <c r="A60" s="28"/>
      <c r="B60" s="3"/>
      <c r="C60" s="3"/>
      <c r="D60" s="3"/>
      <c r="E60" s="3"/>
      <c r="F60" s="28"/>
      <c r="G60" s="3"/>
      <c r="H60" s="3"/>
      <c r="I60" s="3"/>
      <c r="J60" s="3"/>
      <c r="K60" s="28"/>
      <c r="L60" s="3"/>
      <c r="M60" s="3"/>
      <c r="N60" s="3"/>
      <c r="O60" s="20"/>
      <c r="Q60" s="28"/>
      <c r="R60" s="3"/>
      <c r="S60" s="3"/>
      <c r="T60" s="3"/>
      <c r="U60" s="20"/>
      <c r="V60" s="3"/>
      <c r="W60" s="3"/>
      <c r="X60" s="3"/>
      <c r="Y60" s="3"/>
      <c r="Z60" s="3"/>
      <c r="AA60" s="28"/>
      <c r="AB60" s="3"/>
      <c r="AC60" s="3"/>
      <c r="AD60" s="3"/>
      <c r="AE60" s="20"/>
    </row>
    <row r="61" spans="1:31" ht="16.5" x14ac:dyDescent="0.45">
      <c r="A61" s="28"/>
      <c r="B61" s="2" t="s">
        <v>105</v>
      </c>
      <c r="C61" s="4">
        <f>0.6*C59^2</f>
        <v>2385.3016938148412</v>
      </c>
      <c r="D61" s="3" t="s">
        <v>29</v>
      </c>
      <c r="E61" s="3"/>
      <c r="F61" s="28"/>
      <c r="G61" s="2" t="s">
        <v>105</v>
      </c>
      <c r="H61" s="4">
        <f>0.6*H59^2</f>
        <v>5046.5887075752025</v>
      </c>
      <c r="I61" s="3" t="s">
        <v>29</v>
      </c>
      <c r="J61" s="3"/>
      <c r="K61" s="28"/>
      <c r="L61" s="2" t="s">
        <v>105</v>
      </c>
      <c r="M61" s="4">
        <f>0.6*M59^2</f>
        <v>25144.435126231674</v>
      </c>
      <c r="N61" s="3" t="s">
        <v>29</v>
      </c>
      <c r="O61" s="20"/>
      <c r="Q61" s="28"/>
      <c r="R61" s="2" t="s">
        <v>105</v>
      </c>
      <c r="S61" s="4">
        <f>0.6*S59^2</f>
        <v>2428.6738645377532</v>
      </c>
      <c r="T61" s="3" t="s">
        <v>29</v>
      </c>
      <c r="U61" s="20"/>
      <c r="V61" s="3"/>
      <c r="W61" s="2" t="s">
        <v>105</v>
      </c>
      <c r="X61" s="4">
        <f>0.6*X59^2</f>
        <v>5138.3513167079736</v>
      </c>
      <c r="Y61" s="3" t="s">
        <v>29</v>
      </c>
      <c r="Z61" s="3"/>
      <c r="AA61" s="28"/>
      <c r="AB61" s="2" t="s">
        <v>105</v>
      </c>
      <c r="AC61" s="4">
        <f>0.6*AC59^2</f>
        <v>25258.736048401599</v>
      </c>
      <c r="AD61" s="3" t="s">
        <v>29</v>
      </c>
      <c r="AE61" s="20"/>
    </row>
    <row r="62" spans="1:31" ht="16.5" x14ac:dyDescent="0.45">
      <c r="A62" s="28"/>
      <c r="B62" s="2" t="s">
        <v>106</v>
      </c>
      <c r="C62" s="4">
        <f>IF(C59&gt;10,IF(F43&lt;16,3*SQRT(F43)/4,3),IF(F43&gt;12,6,3*SQRT(F43)/4))</f>
        <v>3</v>
      </c>
      <c r="D62" s="3"/>
      <c r="E62" s="3"/>
      <c r="F62" s="28"/>
      <c r="G62" s="2" t="s">
        <v>19</v>
      </c>
      <c r="H62" s="4">
        <f>IF(H59&gt;10,IF(F43&lt;16,3*SQRT(F43)/4,3),IF(F43&gt;12,6,3*SQRT(F43)/4))</f>
        <v>3</v>
      </c>
      <c r="I62" s="3"/>
      <c r="J62" s="3"/>
      <c r="K62" s="28"/>
      <c r="L62" s="2" t="s">
        <v>19</v>
      </c>
      <c r="M62" s="4">
        <f>IF(M59&gt;10,IF(F43&lt;16,3*SQRT(F43)/4,3),IF(F43&gt;12,6,3*SQRT(F43)/4))</f>
        <v>3</v>
      </c>
      <c r="N62" s="3"/>
      <c r="O62" s="20"/>
      <c r="Q62" s="28"/>
      <c r="R62" s="2" t="s">
        <v>19</v>
      </c>
      <c r="S62" s="4">
        <f>IF(S59&gt;10,IF(F43&lt;16,3*SQRT(F43)/4,3),IF(F43&gt;12,6,3*SQRT(F43)/4))</f>
        <v>3</v>
      </c>
      <c r="T62" s="3"/>
      <c r="U62" s="20"/>
      <c r="V62" s="3"/>
      <c r="W62" s="2" t="s">
        <v>19</v>
      </c>
      <c r="X62" s="4">
        <f>IF(X59&gt;10,IF(F43&lt;16,3*SQRT(F43)/4,3),IF(F43&gt;12,6,3*SQRT(F43)/4))</f>
        <v>3</v>
      </c>
      <c r="Y62" s="3"/>
      <c r="Z62" s="3"/>
      <c r="AA62" s="28"/>
      <c r="AB62" s="2" t="s">
        <v>19</v>
      </c>
      <c r="AC62" s="4">
        <f>IF(AC59&gt;10,IF(F43&lt;16,3*SQRT(F43)/4,3),IF(F43&gt;12,6,3*SQRT(F43)/4))</f>
        <v>3</v>
      </c>
      <c r="AD62" s="3"/>
      <c r="AE62" s="20"/>
    </row>
    <row r="63" spans="1:31" ht="16.5" x14ac:dyDescent="0.45">
      <c r="A63" s="28"/>
      <c r="B63" s="2" t="s">
        <v>107</v>
      </c>
      <c r="C63" s="3">
        <f>IF(C59&lt;10,IF(F43&gt;12,1.2,0.6),0.6)</f>
        <v>0.6</v>
      </c>
      <c r="D63" s="3"/>
      <c r="E63" s="3"/>
      <c r="F63" s="28"/>
      <c r="G63" s="2" t="s">
        <v>20</v>
      </c>
      <c r="H63" s="3">
        <f>IF(H59&lt;10,IF(F43&gt;12,1.2,0.6),0.6)</f>
        <v>0.6</v>
      </c>
      <c r="I63" s="3"/>
      <c r="J63" s="3"/>
      <c r="K63" s="28"/>
      <c r="L63" s="2" t="s">
        <v>20</v>
      </c>
      <c r="M63" s="3">
        <f>IF(M59&lt;10,IF(F43&gt;12,1.2,0.6),0.6)</f>
        <v>0.6</v>
      </c>
      <c r="N63" s="3"/>
      <c r="O63" s="20"/>
      <c r="Q63" s="28"/>
      <c r="R63" s="2" t="s">
        <v>20</v>
      </c>
      <c r="S63" s="3">
        <f>IF(S59&lt;10,IF(F43&gt;12,1.2,0.6),0.6)</f>
        <v>0.6</v>
      </c>
      <c r="T63" s="3"/>
      <c r="U63" s="20"/>
      <c r="V63" s="3"/>
      <c r="W63" s="2" t="s">
        <v>20</v>
      </c>
      <c r="X63" s="3">
        <f>IF(X59&lt;10,IF(F43&gt;12,1.2,0.6),0.6)</f>
        <v>0.6</v>
      </c>
      <c r="Y63" s="3"/>
      <c r="Z63" s="3"/>
      <c r="AA63" s="28"/>
      <c r="AB63" s="2" t="s">
        <v>20</v>
      </c>
      <c r="AC63" s="3">
        <f>IF(AC59&lt;10,IF(F43&gt;12,1.2,0.6),0.6)</f>
        <v>0.6</v>
      </c>
      <c r="AD63" s="3"/>
      <c r="AE63" s="20"/>
    </row>
    <row r="64" spans="1:31" x14ac:dyDescent="0.35">
      <c r="A64" s="28"/>
      <c r="B64" s="2"/>
      <c r="C64" s="3"/>
      <c r="D64" s="3"/>
      <c r="E64" s="3"/>
      <c r="F64" s="28"/>
      <c r="G64" s="2"/>
      <c r="H64" s="3"/>
      <c r="I64" s="3"/>
      <c r="J64" s="3"/>
      <c r="K64" s="28"/>
      <c r="L64" s="2"/>
      <c r="M64" s="3"/>
      <c r="N64" s="3"/>
      <c r="O64" s="20"/>
      <c r="Q64" s="28"/>
      <c r="R64" s="3"/>
      <c r="S64" s="3"/>
      <c r="T64" s="3"/>
      <c r="U64" s="20"/>
      <c r="V64" s="3"/>
      <c r="W64" s="3"/>
      <c r="X64" s="3"/>
      <c r="Y64" s="3"/>
      <c r="Z64" s="3"/>
      <c r="AA64" s="28"/>
      <c r="AB64" s="3"/>
      <c r="AC64" s="3"/>
      <c r="AD64" s="3"/>
      <c r="AE64" s="20"/>
    </row>
    <row r="65" spans="1:31" ht="17.5" x14ac:dyDescent="0.45">
      <c r="A65" s="28"/>
      <c r="B65" s="2" t="s">
        <v>108</v>
      </c>
      <c r="C65" s="21">
        <f>C63*$E$46*($B$7*25.4/1000)^2/($B$10*1.48816)</f>
        <v>1.2788417431872788E-3</v>
      </c>
      <c r="D65" s="3"/>
      <c r="E65" s="22" t="str">
        <f>IF(C65&lt;$B$18, "OK","Bad")</f>
        <v>OK</v>
      </c>
      <c r="F65" s="28"/>
      <c r="G65" s="2" t="s">
        <v>108</v>
      </c>
      <c r="H65" s="21">
        <f>H63*E46*($B$7*25.4/1000)^2/($B$10*1.48816)</f>
        <v>1.2788417431872788E-3</v>
      </c>
      <c r="I65" s="3"/>
      <c r="J65" s="22" t="str">
        <f>IF(H65&lt;$B$18, "OK","Bad")</f>
        <v>OK</v>
      </c>
      <c r="K65" s="28"/>
      <c r="L65" s="2" t="s">
        <v>108</v>
      </c>
      <c r="M65" s="21">
        <f>M63*E46*($B$7*25.4/1000)^2/($B$10*1.48816)</f>
        <v>1.2788417431872788E-3</v>
      </c>
      <c r="N65" s="3"/>
      <c r="O65" s="38" t="str">
        <f>IF(M65&lt;$B$18, "OK","Bad")</f>
        <v>OK</v>
      </c>
      <c r="Q65" s="7"/>
      <c r="R65" s="2" t="s">
        <v>108</v>
      </c>
      <c r="S65" s="21">
        <f>S63*E46*($B$7*25.4/1000)^2/($B$10*1.48816)</f>
        <v>1.2788417431872788E-3</v>
      </c>
      <c r="T65" s="3"/>
      <c r="U65" s="38" t="str">
        <f>IF(S65&lt;$B$18, "OK","Bad")</f>
        <v>OK</v>
      </c>
      <c r="V65" s="3"/>
      <c r="W65" s="2" t="s">
        <v>108</v>
      </c>
      <c r="X65" s="21">
        <f>X63*E46*($B$7*25.4/1000)^2/($B$10*1.48816)</f>
        <v>1.2788417431872788E-3</v>
      </c>
      <c r="Y65" s="3"/>
      <c r="Z65" s="22" t="str">
        <f>IF(X65&lt;$B$18, "OK","Bad")</f>
        <v>OK</v>
      </c>
      <c r="AA65" s="28"/>
      <c r="AB65" s="2" t="s">
        <v>108</v>
      </c>
      <c r="AC65" s="21">
        <f>AC63*E46*($B$7*25.4/1000)^2/($B$10*1.48816)</f>
        <v>1.2788417431872788E-3</v>
      </c>
      <c r="AE65" s="38" t="str">
        <f>IF(AC65&lt;$B$18, "OK","Bad")</f>
        <v>OK</v>
      </c>
    </row>
    <row r="66" spans="1:31" x14ac:dyDescent="0.35">
      <c r="A66" s="28"/>
      <c r="B66" s="3"/>
      <c r="C66" s="3"/>
      <c r="D66" s="3"/>
      <c r="E66" s="3"/>
      <c r="F66" s="28"/>
      <c r="G66" s="3"/>
      <c r="H66" s="3"/>
      <c r="I66" s="3"/>
      <c r="J66" s="3"/>
      <c r="K66" s="28"/>
      <c r="L66" s="3"/>
      <c r="M66" s="3"/>
      <c r="N66" s="3"/>
      <c r="O66" s="20"/>
      <c r="Q66" s="7"/>
      <c r="U66" s="8"/>
      <c r="AA66" s="7"/>
      <c r="AE66" s="8"/>
    </row>
    <row r="67" spans="1:31" ht="16.5" x14ac:dyDescent="0.45">
      <c r="A67" s="28"/>
      <c r="B67" s="11" t="s">
        <v>80</v>
      </c>
      <c r="C67" s="4">
        <f>IF($B$18&lt;C65,0,(C62*C61*($B$7*25.4/1000))/(SQRT(F43)*SQRT($B$18-C65)))</f>
        <v>7258.673091960065</v>
      </c>
      <c r="D67" s="3" t="s">
        <v>21</v>
      </c>
      <c r="E67" s="3"/>
      <c r="F67" s="28"/>
      <c r="G67" s="11" t="s">
        <v>80</v>
      </c>
      <c r="H67" s="4">
        <f>IF($B$18&lt;H65,0,(H62*H61*($B$7*25.4/1000))/(SQRT(F43)*SQRT($B$18-H65)))</f>
        <v>15357.192657370058</v>
      </c>
      <c r="I67" s="3" t="s">
        <v>21</v>
      </c>
      <c r="J67" s="3"/>
      <c r="K67" s="28"/>
      <c r="L67" s="11" t="s">
        <v>80</v>
      </c>
      <c r="M67" s="4">
        <f>IF($B$18&lt;M65,0,(M62*M61*($B$7*25.4/1000))/(SQRT(F43)*SQRT($B$18-M65)))</f>
        <v>76516.624767668094</v>
      </c>
      <c r="N67" s="3" t="s">
        <v>21</v>
      </c>
      <c r="O67" s="20"/>
      <c r="Q67" s="28"/>
      <c r="R67" s="11" t="s">
        <v>80</v>
      </c>
      <c r="S67" s="4">
        <f>IF($B$18&lt;S65,0,(S62*S61*($B$7*25.4/1000))/(SQRT(F43)*SQRT($B$18-S65)))</f>
        <v>7390.6582447743385</v>
      </c>
      <c r="T67" s="3" t="s">
        <v>21</v>
      </c>
      <c r="U67" s="20"/>
      <c r="V67" s="3"/>
      <c r="W67" s="11" t="s">
        <v>80</v>
      </c>
      <c r="X67" s="4">
        <f>IF($B$18&lt;X65,0,(X62*X61*($B$7*25.4/1000))/(SQRT(F43)*SQRT($B$18-X65)))</f>
        <v>15636.43397241513</v>
      </c>
      <c r="Y67" s="3" t="s">
        <v>21</v>
      </c>
      <c r="Z67" s="3"/>
      <c r="AA67" s="28"/>
      <c r="AB67" s="11" t="s">
        <v>80</v>
      </c>
      <c r="AC67" s="4">
        <f>IF($B$18&lt;AC65,0,(AC62*AC61*($B$7*25.4/1000))/(SQRT(F43)*SQRT($B$18-AC65)))</f>
        <v>76864.452059407515</v>
      </c>
      <c r="AD67" s="3" t="s">
        <v>21</v>
      </c>
      <c r="AE67" s="20"/>
    </row>
    <row r="68" spans="1:31" x14ac:dyDescent="0.35">
      <c r="A68" s="28"/>
      <c r="B68" s="3"/>
      <c r="C68" s="3"/>
      <c r="D68" s="3"/>
      <c r="E68" s="3"/>
      <c r="F68" s="28"/>
      <c r="G68" s="3"/>
      <c r="H68" s="3"/>
      <c r="I68" s="3"/>
      <c r="J68" s="3"/>
      <c r="K68" s="28"/>
      <c r="L68" s="3"/>
      <c r="M68" s="3"/>
      <c r="N68" s="3"/>
      <c r="O68" s="20"/>
      <c r="Q68" s="28"/>
      <c r="R68" s="3"/>
      <c r="S68" s="3"/>
      <c r="T68" s="3"/>
      <c r="U68" s="20"/>
      <c r="V68" s="3"/>
      <c r="W68" s="3"/>
      <c r="X68" s="3"/>
      <c r="Y68" s="3"/>
      <c r="Z68" s="3"/>
      <c r="AA68" s="28"/>
      <c r="AB68" s="3"/>
      <c r="AC68" s="3"/>
      <c r="AD68" s="3"/>
      <c r="AE68" s="20"/>
    </row>
    <row r="69" spans="1:31" ht="16.5" x14ac:dyDescent="0.35">
      <c r="A69" s="28"/>
      <c r="B69" s="78" t="s">
        <v>132</v>
      </c>
      <c r="C69" s="4">
        <f>IF((MAX(IF($V$29="Yes",$V$30,0),IF($W$29="Yes",$W$30,0),IF($Y$29="Yes",$Y$30,0)))/C56&gt;1,1,(MAX(IF($V$29="Yes",$V$30,0),IF($W$29="Yes",$W$30,0),IF($Y$29="Yes",$Y$30,0)))/C56)</f>
        <v>0.99918180357348685</v>
      </c>
      <c r="D69" s="3"/>
      <c r="E69" s="3"/>
      <c r="F69" s="28"/>
      <c r="G69" s="78" t="s">
        <v>126</v>
      </c>
      <c r="H69" s="4">
        <f>IF((MAX(IF($V$29="Yes",$V$30,0),IF($W$29="Yes",$W$30,0),IF($Y$29="Yes",$Y$30,0)))/H56&gt;1,1,(MAX(IF($V$29="Yes",$V$30,0),IF($W$29="Yes",$W$30,0),IF($Y$29="Yes",$Y$30,0)))/H56)</f>
        <v>0.68693748995677217</v>
      </c>
      <c r="I69" s="3"/>
      <c r="J69" s="3"/>
      <c r="K69" s="28"/>
      <c r="L69" s="78" t="s">
        <v>126</v>
      </c>
      <c r="M69" s="4">
        <f>IF((MAX(IF($V$29="Yes",$V$30,0),IF($W$29="Yes",$W$30,0),IF($Y$29="Yes",$Y$30,0)))/M56&gt;1,1,(MAX(IF($V$29="Yes",$V$30,0),IF($W$29="Yes",$W$30,0),IF($Y$29="Yes",$Y$30,0)))/M56)</f>
        <v>0.30774799550063392</v>
      </c>
      <c r="N69" s="3"/>
      <c r="O69" s="20"/>
      <c r="Q69" s="7"/>
      <c r="R69" s="78" t="s">
        <v>126</v>
      </c>
      <c r="S69" s="4">
        <f>IF((MAX(IF($V$36="Yes",$V$37,0),IF($W$36="Yes",$W$37,0),IF($Y$36="Yes",$Y$37,0)))/S56&gt;1,1,(MAX(IF($V$36="Yes",$V$37,0),IF($W$36="Yes",$W$37,0),IF($Y$36="Yes",$Y$37,0)))/S56)</f>
        <v>0.31435546958654992</v>
      </c>
      <c r="T69" s="3"/>
      <c r="U69" s="20"/>
      <c r="W69" s="78" t="s">
        <v>126</v>
      </c>
      <c r="X69" s="4">
        <f>IF((MAX(IF($V$36="Yes",$V$37,0),IF($W$36="Yes",$W$37,0),IF($Y$36="Yes",$Y$37,0)))/X56&gt;1,1,(MAX(IF($V$36="Yes",$V$37,0),IF($W$36="Yes",$W$37,0),IF($Y$36="Yes",$Y$37,0)))/X56)</f>
        <v>0.21611938534075303</v>
      </c>
      <c r="Y69" s="3"/>
      <c r="Z69" s="20"/>
      <c r="AB69" s="78" t="s">
        <v>126</v>
      </c>
      <c r="AC69" s="4">
        <f>IF((MAX(IF($V$36="Yes",$V$37,0),IF($W$36="Yes",$W$37,0),IF($Y$36="Yes",$Y$37,0)))/AC56&gt;1,1,(MAX(IF($V$36="Yes",$V$37,0),IF($W$36="Yes",$W$37,0),IF($Y$36="Yes",$Y$37,0)))/AC56)</f>
        <v>9.7476474544161529E-2</v>
      </c>
      <c r="AD69" s="3"/>
      <c r="AE69" s="20"/>
    </row>
    <row r="70" spans="1:31" x14ac:dyDescent="0.35">
      <c r="A70" s="82"/>
      <c r="B70" s="80" t="s">
        <v>127</v>
      </c>
      <c r="C70" s="84">
        <v>50</v>
      </c>
      <c r="E70" s="85" t="s">
        <v>131</v>
      </c>
      <c r="F70" s="82"/>
      <c r="G70" s="80" t="s">
        <v>127</v>
      </c>
      <c r="H70" s="84">
        <v>2</v>
      </c>
      <c r="J70" s="85" t="s">
        <v>131</v>
      </c>
      <c r="K70" s="82"/>
      <c r="L70" s="80" t="s">
        <v>127</v>
      </c>
      <c r="M70" s="84">
        <v>1.2</v>
      </c>
      <c r="O70" s="86" t="s">
        <v>131</v>
      </c>
      <c r="P70" s="72"/>
      <c r="Q70" s="82"/>
      <c r="R70" s="80" t="s">
        <v>127</v>
      </c>
      <c r="S70" s="84">
        <v>1.2</v>
      </c>
      <c r="U70" s="86" t="s">
        <v>131</v>
      </c>
      <c r="V70" s="81"/>
      <c r="W70" s="80" t="s">
        <v>127</v>
      </c>
      <c r="X70" s="84">
        <v>1.1000000000000001</v>
      </c>
      <c r="Z70" s="86" t="s">
        <v>131</v>
      </c>
      <c r="AA70" s="82"/>
      <c r="AB70" s="80" t="s">
        <v>127</v>
      </c>
      <c r="AC70" s="84">
        <v>1</v>
      </c>
      <c r="AE70" s="86" t="s">
        <v>131</v>
      </c>
    </row>
    <row r="71" spans="1:31" x14ac:dyDescent="0.35">
      <c r="A71" s="28"/>
      <c r="B71" s="2" t="s">
        <v>22</v>
      </c>
      <c r="C71" s="4">
        <f>(C70*C67/1000)</f>
        <v>362.93365459800327</v>
      </c>
      <c r="D71" s="3" t="s">
        <v>23</v>
      </c>
      <c r="E71" s="50"/>
      <c r="F71" s="51"/>
      <c r="G71" s="2" t="s">
        <v>22</v>
      </c>
      <c r="H71" s="4">
        <f>(H70*H67/1000)</f>
        <v>30.714385314740117</v>
      </c>
      <c r="I71" s="3" t="s">
        <v>23</v>
      </c>
      <c r="J71" s="50"/>
      <c r="K71" s="51"/>
      <c r="L71" s="2" t="s">
        <v>22</v>
      </c>
      <c r="M71" s="4">
        <f>(M70*M67/1000)</f>
        <v>91.819949721201709</v>
      </c>
      <c r="N71" s="3" t="s">
        <v>23</v>
      </c>
      <c r="O71" s="52"/>
      <c r="P71" s="53"/>
      <c r="Q71" s="28"/>
      <c r="R71" s="2" t="s">
        <v>22</v>
      </c>
      <c r="S71" s="4">
        <f>(S70*S67/1000)</f>
        <v>8.8687898937292058</v>
      </c>
      <c r="T71" s="3" t="s">
        <v>23</v>
      </c>
      <c r="U71" s="20"/>
      <c r="V71" s="3"/>
      <c r="W71" s="2" t="s">
        <v>22</v>
      </c>
      <c r="X71" s="4">
        <f>(X70*X67/1000)</f>
        <v>17.200077369656647</v>
      </c>
      <c r="Y71" s="3" t="s">
        <v>23</v>
      </c>
      <c r="Z71" s="3"/>
      <c r="AA71" s="28"/>
      <c r="AB71" s="2" t="s">
        <v>22</v>
      </c>
      <c r="AC71" s="4">
        <f>(AC70*AC67/1000)</f>
        <v>76.864452059407512</v>
      </c>
      <c r="AD71" s="3" t="s">
        <v>23</v>
      </c>
      <c r="AE71" s="20"/>
    </row>
    <row r="72" spans="1:31" ht="15" thickBot="1" x14ac:dyDescent="0.4">
      <c r="A72" s="28"/>
      <c r="B72" s="3"/>
      <c r="C72" s="3"/>
      <c r="D72" s="3"/>
      <c r="E72" s="50"/>
      <c r="F72" s="51"/>
      <c r="G72" s="3"/>
      <c r="H72" s="3"/>
      <c r="I72" s="3"/>
      <c r="J72" s="50"/>
      <c r="K72" s="51"/>
      <c r="L72" s="3"/>
      <c r="M72" s="3"/>
      <c r="N72" s="3"/>
      <c r="O72" s="52"/>
      <c r="P72" s="53"/>
      <c r="Q72" s="28"/>
      <c r="R72" s="3"/>
      <c r="S72" s="3"/>
      <c r="T72" s="3"/>
      <c r="U72" s="20"/>
      <c r="V72" s="3"/>
      <c r="W72" s="3"/>
      <c r="X72" s="3"/>
      <c r="Y72" s="3"/>
      <c r="Z72" s="3"/>
      <c r="AA72" s="28"/>
      <c r="AB72" s="3"/>
      <c r="AC72" s="3"/>
      <c r="AD72" s="3"/>
      <c r="AE72" s="20"/>
    </row>
    <row r="73" spans="1:31" ht="15" thickTop="1" x14ac:dyDescent="0.35">
      <c r="A73" s="28"/>
      <c r="B73" s="64" t="s">
        <v>24</v>
      </c>
      <c r="C73" s="65">
        <f>C71</f>
        <v>362.93365459800327</v>
      </c>
      <c r="D73" s="66" t="s">
        <v>23</v>
      </c>
      <c r="E73" s="50"/>
      <c r="F73" s="51"/>
      <c r="G73" s="64" t="s">
        <v>24</v>
      </c>
      <c r="H73" s="65">
        <f>H71</f>
        <v>30.714385314740117</v>
      </c>
      <c r="I73" s="66" t="s">
        <v>23</v>
      </c>
      <c r="J73" s="50"/>
      <c r="K73" s="51"/>
      <c r="L73" s="64" t="s">
        <v>24</v>
      </c>
      <c r="M73" s="65">
        <f>M71</f>
        <v>91.819949721201709</v>
      </c>
      <c r="N73" s="66" t="s">
        <v>23</v>
      </c>
      <c r="O73" s="52"/>
      <c r="P73" s="53"/>
      <c r="Q73" s="28"/>
      <c r="R73" s="64" t="s">
        <v>24</v>
      </c>
      <c r="S73" s="65">
        <f>S71</f>
        <v>8.8687898937292058</v>
      </c>
      <c r="T73" s="66" t="s">
        <v>23</v>
      </c>
      <c r="U73" s="20"/>
      <c r="V73" s="3"/>
      <c r="W73" s="64" t="s">
        <v>24</v>
      </c>
      <c r="X73" s="65">
        <f>X71</f>
        <v>17.200077369656647</v>
      </c>
      <c r="Y73" s="66" t="s">
        <v>23</v>
      </c>
      <c r="Z73" s="3"/>
      <c r="AA73" s="28"/>
      <c r="AB73" s="64" t="s">
        <v>24</v>
      </c>
      <c r="AC73" s="65">
        <f>AC71</f>
        <v>76.864452059407512</v>
      </c>
      <c r="AD73" s="66" t="s">
        <v>23</v>
      </c>
      <c r="AE73" s="20"/>
    </row>
    <row r="74" spans="1:31" x14ac:dyDescent="0.35">
      <c r="A74" s="28"/>
      <c r="B74" s="67" t="s">
        <v>25</v>
      </c>
      <c r="C74" s="4">
        <f>(C71*($B$14*25.4/1000)^2/8)</f>
        <v>2538.2853935275157</v>
      </c>
      <c r="D74" s="68" t="s">
        <v>33</v>
      </c>
      <c r="E74" s="50"/>
      <c r="F74" s="51"/>
      <c r="G74" s="67" t="s">
        <v>25</v>
      </c>
      <c r="H74" s="4">
        <f>(H71*($B$14*25.4/1000)^2/8)</f>
        <v>214.81026801422945</v>
      </c>
      <c r="I74" s="68" t="s">
        <v>33</v>
      </c>
      <c r="J74" s="50"/>
      <c r="K74" s="51"/>
      <c r="L74" s="67" t="s">
        <v>25</v>
      </c>
      <c r="M74" s="4">
        <f>((M71*($B$14*25.4/1000)^2/8))/3</f>
        <v>214.05678812004689</v>
      </c>
      <c r="N74" s="68" t="s">
        <v>33</v>
      </c>
      <c r="O74" s="52"/>
      <c r="P74" s="53"/>
      <c r="Q74" s="28"/>
      <c r="R74" s="67" t="s">
        <v>25</v>
      </c>
      <c r="S74" s="4">
        <f>(S71*($B$14*25.4/1000)^2/8)</f>
        <v>62.026542758763327</v>
      </c>
      <c r="T74" s="68" t="s">
        <v>33</v>
      </c>
      <c r="U74" s="20"/>
      <c r="V74" s="3"/>
      <c r="W74" s="67" t="s">
        <v>25</v>
      </c>
      <c r="X74" s="4">
        <f>(X71*($B$14*25.4/1000)^2/8)</f>
        <v>120.29390110790467</v>
      </c>
      <c r="Y74" s="68" t="s">
        <v>33</v>
      </c>
      <c r="Z74" s="3"/>
      <c r="AA74" s="28"/>
      <c r="AB74" s="67" t="s">
        <v>25</v>
      </c>
      <c r="AC74" s="4">
        <f>((AC71*($B$14*25.4/1000)^2/8))/3</f>
        <v>179.19153493769477</v>
      </c>
      <c r="AD74" s="68" t="s">
        <v>33</v>
      </c>
      <c r="AE74" s="20"/>
    </row>
    <row r="75" spans="1:31" ht="15" thickBot="1" x14ac:dyDescent="0.4">
      <c r="A75" s="28"/>
      <c r="B75" s="69" t="s">
        <v>26</v>
      </c>
      <c r="C75" s="70">
        <f>(C74*1000*1000)/($B$9*25.4^3)</f>
        <v>2209.9814428129575</v>
      </c>
      <c r="D75" s="71" t="s">
        <v>35</v>
      </c>
      <c r="E75" s="50"/>
      <c r="F75" s="51"/>
      <c r="G75" s="69" t="s">
        <v>26</v>
      </c>
      <c r="H75" s="70">
        <f>(H74*1000*1000)/($B$9*25.4^3)</f>
        <v>187.0265287140883</v>
      </c>
      <c r="I75" s="71" t="s">
        <v>35</v>
      </c>
      <c r="J75" s="50"/>
      <c r="K75" s="51"/>
      <c r="L75" s="69" t="s">
        <v>26</v>
      </c>
      <c r="M75" s="70">
        <f>(M74*1000*1000)/($B$9*25.4^3)</f>
        <v>186.37050453811415</v>
      </c>
      <c r="N75" s="71" t="s">
        <v>35</v>
      </c>
      <c r="O75" s="52"/>
      <c r="P75" s="53"/>
      <c r="Q75" s="28"/>
      <c r="R75" s="69" t="s">
        <v>26</v>
      </c>
      <c r="S75" s="70">
        <f>(S74*1000*1000)/($B$9*25.4^3)</f>
        <v>54.003977964121475</v>
      </c>
      <c r="T75" s="71" t="s">
        <v>35</v>
      </c>
      <c r="U75" s="20"/>
      <c r="V75" s="3"/>
      <c r="W75" s="69" t="s">
        <v>26</v>
      </c>
      <c r="X75" s="70">
        <f>(X74*1000*1000)/($B$9*25.4^3)</f>
        <v>104.73498756678109</v>
      </c>
      <c r="Y75" s="71" t="s">
        <v>35</v>
      </c>
      <c r="Z75" s="3"/>
      <c r="AA75" s="28"/>
      <c r="AB75" s="69" t="s">
        <v>26</v>
      </c>
      <c r="AC75" s="70">
        <f>(AC74*1000*1000)/($B$9*25.4^3)</f>
        <v>156.01475229352781</v>
      </c>
      <c r="AD75" s="71" t="s">
        <v>35</v>
      </c>
      <c r="AE75" s="20"/>
    </row>
    <row r="76" spans="1:31" ht="15" thickTop="1" x14ac:dyDescent="0.35">
      <c r="A76" s="29"/>
      <c r="B76" s="23"/>
      <c r="C76" s="23"/>
      <c r="D76" s="23"/>
      <c r="E76" s="23"/>
      <c r="F76" s="29"/>
      <c r="G76" s="23"/>
      <c r="H76" s="23"/>
      <c r="I76" s="23"/>
      <c r="J76" s="23"/>
      <c r="K76" s="29"/>
      <c r="L76" s="23"/>
      <c r="M76" s="23"/>
      <c r="N76" s="23"/>
      <c r="O76" s="24"/>
      <c r="Q76" s="29"/>
      <c r="R76" s="23"/>
      <c r="S76" s="23"/>
      <c r="T76" s="23"/>
      <c r="U76" s="24"/>
      <c r="V76" s="23"/>
      <c r="W76" s="23"/>
      <c r="X76" s="23"/>
      <c r="Y76" s="23"/>
      <c r="Z76" s="23"/>
      <c r="AA76" s="29"/>
      <c r="AB76" s="23"/>
      <c r="AC76" s="23"/>
      <c r="AD76" s="23"/>
      <c r="AE76" s="24"/>
    </row>
    <row r="78" spans="1:31" x14ac:dyDescent="0.35">
      <c r="A78" s="3" t="s">
        <v>139</v>
      </c>
      <c r="Q78" t="s">
        <v>49</v>
      </c>
    </row>
    <row r="79" spans="1:31" x14ac:dyDescent="0.35">
      <c r="A79" s="26"/>
      <c r="B79" s="27"/>
      <c r="C79" s="44" t="str">
        <f>G6</f>
        <v>Mode</v>
      </c>
      <c r="D79" s="45">
        <f>H6</f>
        <v>1</v>
      </c>
      <c r="E79" s="17"/>
      <c r="F79" s="26"/>
      <c r="G79" s="17"/>
      <c r="H79" s="44" t="str">
        <f>I6</f>
        <v>Mode</v>
      </c>
      <c r="I79" s="45">
        <f>J6</f>
        <v>1</v>
      </c>
      <c r="J79" s="17"/>
      <c r="K79" s="26"/>
      <c r="L79" s="17"/>
      <c r="M79" s="44" t="str">
        <f>K6</f>
        <v>Mode</v>
      </c>
      <c r="N79" s="45">
        <f>L6</f>
        <v>2</v>
      </c>
      <c r="O79" s="18"/>
      <c r="Q79" s="26"/>
      <c r="R79" s="27"/>
      <c r="S79" s="44" t="str">
        <f>C52</f>
        <v>Mode</v>
      </c>
      <c r="T79" s="45">
        <f>D52</f>
        <v>1</v>
      </c>
      <c r="U79" s="17"/>
      <c r="V79" s="26"/>
      <c r="W79" s="17"/>
      <c r="X79" s="44" t="str">
        <f>H52</f>
        <v>Mode</v>
      </c>
      <c r="Y79" s="45">
        <f>I52</f>
        <v>1</v>
      </c>
      <c r="Z79" s="17"/>
      <c r="AA79" s="26"/>
      <c r="AB79" s="17"/>
      <c r="AC79" s="44" t="str">
        <f>M52</f>
        <v>Mode</v>
      </c>
      <c r="AD79" s="45">
        <f>N52</f>
        <v>2</v>
      </c>
      <c r="AE79" s="18"/>
    </row>
    <row r="80" spans="1:31" x14ac:dyDescent="0.35">
      <c r="A80" s="29"/>
      <c r="B80" s="30"/>
      <c r="C80" s="31" t="s">
        <v>4</v>
      </c>
      <c r="D80" s="23"/>
      <c r="E80" s="23"/>
      <c r="F80" s="29"/>
      <c r="G80" s="23"/>
      <c r="H80" s="31" t="s">
        <v>5</v>
      </c>
      <c r="I80" s="23"/>
      <c r="J80" s="23"/>
      <c r="K80" s="29"/>
      <c r="L80" s="23"/>
      <c r="M80" s="31" t="s">
        <v>4</v>
      </c>
      <c r="N80" s="23"/>
      <c r="O80" s="24"/>
      <c r="Q80" s="29"/>
      <c r="R80" s="30"/>
      <c r="S80" s="31" t="s">
        <v>4</v>
      </c>
      <c r="T80" s="23"/>
      <c r="U80" s="23"/>
      <c r="V80" s="29"/>
      <c r="W80" s="23"/>
      <c r="X80" s="31" t="s">
        <v>5</v>
      </c>
      <c r="Y80" s="23"/>
      <c r="Z80" s="23"/>
      <c r="AA80" s="29"/>
      <c r="AB80" s="23"/>
      <c r="AC80" s="31" t="s">
        <v>4</v>
      </c>
      <c r="AD80" s="23"/>
      <c r="AE80" s="24"/>
    </row>
    <row r="81" spans="1:31" ht="15" thickBot="1" x14ac:dyDescent="0.4">
      <c r="A81" s="26"/>
      <c r="B81" s="27"/>
      <c r="C81" s="32"/>
      <c r="D81" s="17"/>
      <c r="E81" s="18"/>
      <c r="F81" s="3"/>
      <c r="G81" s="3"/>
      <c r="H81" s="22"/>
      <c r="I81" s="3"/>
      <c r="J81" s="3"/>
      <c r="K81" s="26"/>
      <c r="L81" s="17"/>
      <c r="M81" s="32"/>
      <c r="N81" s="17"/>
      <c r="O81" s="18"/>
      <c r="Q81" s="28"/>
      <c r="R81" s="2"/>
      <c r="S81" s="22"/>
      <c r="T81" s="3"/>
      <c r="U81" s="3"/>
      <c r="V81" s="28"/>
      <c r="W81" s="3"/>
      <c r="X81" s="22"/>
      <c r="Y81" s="3"/>
      <c r="Z81" s="3"/>
      <c r="AA81" s="28"/>
      <c r="AB81" s="3"/>
      <c r="AC81" s="22"/>
      <c r="AD81" s="3"/>
      <c r="AE81" s="20"/>
    </row>
    <row r="82" spans="1:31" ht="17.5" thickTop="1" thickBot="1" x14ac:dyDescent="0.5">
      <c r="A82" s="28"/>
      <c r="B82" s="46" t="s">
        <v>51</v>
      </c>
      <c r="C82" s="33">
        <f>IF(S13&gt;0,C56*(1+S14^2/D79^2)^0.5,C56*(1-S14^2/D79^2)^0.5)</f>
        <v>31.034171904042996</v>
      </c>
      <c r="D82" s="34" t="s">
        <v>16</v>
      </c>
      <c r="E82" s="20"/>
      <c r="F82" s="3"/>
      <c r="G82" s="46" t="s">
        <v>51</v>
      </c>
      <c r="H82" s="33">
        <f>IF(S13&gt;0,H56*(1+S14^2/I79^2)^0.5,H56*(1-S14^2/I79^2)^0.5)</f>
        <v>45.140613678607998</v>
      </c>
      <c r="I82" s="34" t="s">
        <v>16</v>
      </c>
      <c r="J82" s="3"/>
      <c r="K82" s="28"/>
      <c r="L82" s="46" t="s">
        <v>51</v>
      </c>
      <c r="M82" s="33">
        <f>IF(S13&gt;0,M56*(1+S14^2/N79^2)^0.5,M56*(1-S14^2/N79^2)^0.5)</f>
        <v>100.74849631516001</v>
      </c>
      <c r="N82" s="34" t="s">
        <v>16</v>
      </c>
      <c r="O82" s="20"/>
      <c r="Q82" s="28"/>
      <c r="R82" s="46" t="s">
        <v>51</v>
      </c>
      <c r="S82" s="33">
        <f>IF(S19&gt;0,C56*(1+S20^2/T79^2)^0.5,C56*(1-S20^2/T79^2)^0.5)</f>
        <v>31.428726751301845</v>
      </c>
      <c r="T82" s="34" t="s">
        <v>16</v>
      </c>
      <c r="U82" s="3"/>
      <c r="V82" s="28"/>
      <c r="W82" s="46" t="s">
        <v>51</v>
      </c>
      <c r="X82" s="33">
        <f>IF(S19&gt;0,H56*(1+S20^2/Y79^2)^0.5,H56*(1-S20^2/Y79^2)^0.5)</f>
        <v>45.714511638257235</v>
      </c>
      <c r="Y82" s="34" t="s">
        <v>16</v>
      </c>
      <c r="Z82" s="3"/>
      <c r="AA82" s="28"/>
      <c r="AB82" s="46" t="s">
        <v>51</v>
      </c>
      <c r="AC82" s="33">
        <f>IF(S19&gt;0,M56*(1+S20^2/AD79^2)^0.5,M56*(1-S20^2/AD79^2)^0.5)</f>
        <v>101.07031144402882</v>
      </c>
      <c r="AD82" s="34" t="s">
        <v>16</v>
      </c>
      <c r="AE82" s="20"/>
    </row>
    <row r="83" spans="1:31" ht="15" thickTop="1" x14ac:dyDescent="0.35">
      <c r="A83" s="28"/>
      <c r="B83" s="2"/>
      <c r="C83" s="4"/>
      <c r="D83" s="3"/>
      <c r="E83" s="20"/>
      <c r="F83" s="3"/>
      <c r="G83" s="3"/>
      <c r="H83" s="3"/>
      <c r="I83" s="3"/>
      <c r="J83" s="3"/>
      <c r="K83" s="28"/>
      <c r="L83" s="3"/>
      <c r="M83" s="3"/>
      <c r="N83" s="3"/>
      <c r="O83" s="20"/>
      <c r="Q83" s="28"/>
      <c r="R83" s="2"/>
      <c r="S83" s="4"/>
      <c r="T83" s="3"/>
      <c r="U83" s="3"/>
      <c r="V83" s="28"/>
      <c r="W83" s="3"/>
      <c r="X83" s="3"/>
      <c r="Y83" s="3"/>
      <c r="Z83" s="3"/>
      <c r="AA83" s="28"/>
      <c r="AB83" s="3"/>
      <c r="AC83" s="3"/>
      <c r="AD83" s="3"/>
      <c r="AE83" s="20"/>
    </row>
    <row r="84" spans="1:31" ht="18" thickBot="1" x14ac:dyDescent="0.5">
      <c r="A84" s="28"/>
      <c r="B84" s="79" t="s">
        <v>69</v>
      </c>
      <c r="C84" s="87">
        <f>C82*($B$7*25.4/1000)^2</f>
        <v>5.1256336244767686</v>
      </c>
      <c r="D84" s="88" t="s">
        <v>17</v>
      </c>
      <c r="E84" s="89"/>
      <c r="F84" s="88"/>
      <c r="G84" s="79" t="s">
        <v>69</v>
      </c>
      <c r="H84" s="87">
        <f>H82*($B$7*25.4/1000)^2</f>
        <v>7.4554670901480282</v>
      </c>
      <c r="I84" s="88" t="s">
        <v>17</v>
      </c>
      <c r="J84" s="88"/>
      <c r="K84" s="90"/>
      <c r="L84" s="79" t="s">
        <v>69</v>
      </c>
      <c r="M84" s="87">
        <f>M82*($B$7*25.4/1000)^2</f>
        <v>16.639718369968289</v>
      </c>
      <c r="N84" s="88" t="s">
        <v>17</v>
      </c>
      <c r="O84" s="20"/>
      <c r="Q84" s="28"/>
      <c r="R84" s="2" t="s">
        <v>69</v>
      </c>
      <c r="S84" s="25">
        <f>S82*($B$7*25.4/1000)^2</f>
        <v>5.1907986818226934</v>
      </c>
      <c r="T84" s="3" t="s">
        <v>17</v>
      </c>
      <c r="U84" s="3"/>
      <c r="V84" s="28"/>
      <c r="W84" s="2" t="s">
        <v>69</v>
      </c>
      <c r="X84" s="25">
        <f>X82*($B$7*25.4/1000)^2</f>
        <v>7.5502526281057376</v>
      </c>
      <c r="Y84" s="3" t="s">
        <v>17</v>
      </c>
      <c r="Z84" s="3"/>
      <c r="AA84" s="28"/>
      <c r="AB84" s="2" t="s">
        <v>69</v>
      </c>
      <c r="AC84" s="25">
        <f>AC82*($B$7*25.4/1000)^2</f>
        <v>16.692869665594785</v>
      </c>
      <c r="AD84" s="3" t="s">
        <v>17</v>
      </c>
      <c r="AE84" s="20"/>
    </row>
    <row r="85" spans="1:31" ht="17.5" thickTop="1" thickBot="1" x14ac:dyDescent="0.5">
      <c r="A85" s="28"/>
      <c r="B85" s="35" t="s">
        <v>70</v>
      </c>
      <c r="C85" s="36">
        <f>IF(C84&gt;0.5,IF(C84&gt;0.75,5*C82*$B$7*25.4/1000,3*C82*$B$7*25.4/1000+1.5/($B$7*25.4/1000)),6*C82*($B$7*25.4/1000))</f>
        <v>63.061437309015361</v>
      </c>
      <c r="D85" s="37" t="s">
        <v>18</v>
      </c>
      <c r="E85" s="38" t="str">
        <f>IF(C85&gt;K11, "OK","Bad")</f>
        <v>OK</v>
      </c>
      <c r="F85" s="3"/>
      <c r="G85" s="35" t="s">
        <v>70</v>
      </c>
      <c r="H85" s="36">
        <f>IF(H84&gt;0.5,IF(H84&gt;0.75,5*H82*$B$7*25.4/1000,3*H82*$B$7*25.4/1000+1.5/($B$7*25.4/1000)),6*H82*($B$7*25.4/1000))</f>
        <v>91.725726994931449</v>
      </c>
      <c r="I85" s="37" t="s">
        <v>18</v>
      </c>
      <c r="J85" s="22" t="str">
        <f>IF(H85&gt;K11, "OK","Bad")</f>
        <v>OK</v>
      </c>
      <c r="K85" s="28"/>
      <c r="L85" s="35" t="s">
        <v>70</v>
      </c>
      <c r="M85" s="36">
        <f>IF(M84&gt;0.5,IF(M84&gt;0.75,5*M82*$B$7*25.4/1000,3*M82*$B$7*25.4/1000+1.5/($B$7*25.4/1000)),6*M82*($B$7*25.4/1000))</f>
        <v>204.72094451240514</v>
      </c>
      <c r="N85" s="37" t="s">
        <v>18</v>
      </c>
      <c r="O85" s="38" t="str">
        <f>IF(M85&gt;K11, "OK","Bad")</f>
        <v>OK</v>
      </c>
      <c r="Q85" s="28"/>
      <c r="R85" s="35" t="s">
        <v>70</v>
      </c>
      <c r="S85" s="36">
        <f>IF(S84&gt;0.5,IF(S84&gt;0.75,5*S82*$B$7*25.4/1000,3*S82*$B$7*25.4/1000+1.5/($B$7*25.4/1000)),6*S82*($B$7*25.4/1000))</f>
        <v>63.863172758645341</v>
      </c>
      <c r="T85" s="37" t="s">
        <v>18</v>
      </c>
      <c r="U85" s="22" t="str">
        <f>IF(S85&gt;G11, "OK","Bad")</f>
        <v>OK</v>
      </c>
      <c r="V85" s="28"/>
      <c r="W85" s="35" t="s">
        <v>70</v>
      </c>
      <c r="X85" s="36">
        <f>IF(X84&gt;0.5,IF(X84&gt;0.75,5*X82*$B$7*25.4/1000,3*X82*$B$7*25.4/1000+1.5/($B$7*25.4/1000)),6*X82*($B$7*25.4/1000))</f>
        <v>92.891887648938706</v>
      </c>
      <c r="Y85" s="37" t="s">
        <v>18</v>
      </c>
      <c r="Z85" s="22" t="str">
        <f>IF(X85&gt;G11, "OK","Bad")</f>
        <v>OK</v>
      </c>
      <c r="AA85" s="28"/>
      <c r="AB85" s="35" t="s">
        <v>70</v>
      </c>
      <c r="AC85" s="36">
        <f>IF(AC84&gt;0.5,IF(AC84&gt;0.75,5*AC82*$B$7*25.4/1000,3*AC82*$B$7*25.4/1000+1.5/($B$7*25.4/1000)),6*AC82*($B$7*25.4/1000))</f>
        <v>205.37487285426656</v>
      </c>
      <c r="AD85" s="37" t="s">
        <v>18</v>
      </c>
      <c r="AE85" s="38" t="str">
        <f>IF(AC85&gt;G11, "OK","Bad")</f>
        <v>OK</v>
      </c>
    </row>
    <row r="86" spans="1:31" ht="15" thickTop="1" x14ac:dyDescent="0.35">
      <c r="A86" s="28"/>
      <c r="B86" s="3"/>
      <c r="C86" s="3"/>
      <c r="D86" s="3"/>
      <c r="E86" s="20"/>
      <c r="F86" s="3"/>
      <c r="G86" s="3"/>
      <c r="H86" s="3"/>
      <c r="I86" s="3"/>
      <c r="J86" s="3"/>
      <c r="K86" s="28"/>
      <c r="L86" s="3"/>
      <c r="M86" s="3"/>
      <c r="N86" s="3"/>
      <c r="O86" s="20"/>
      <c r="Q86" s="28"/>
      <c r="R86" s="3"/>
      <c r="S86" s="3"/>
      <c r="T86" s="3"/>
      <c r="U86" s="3"/>
      <c r="V86" s="28"/>
      <c r="W86" s="3"/>
      <c r="X86" s="3"/>
      <c r="Y86" s="3"/>
      <c r="Z86" s="3"/>
      <c r="AA86" s="28"/>
      <c r="AB86" s="3"/>
      <c r="AC86" s="3"/>
      <c r="AD86" s="3"/>
      <c r="AE86" s="20"/>
    </row>
    <row r="87" spans="1:31" ht="16.5" x14ac:dyDescent="0.45">
      <c r="A87" s="28"/>
      <c r="B87" s="2" t="s">
        <v>105</v>
      </c>
      <c r="C87" s="4">
        <f>0.6*C85^2</f>
        <v>2386.0469252873245</v>
      </c>
      <c r="D87" s="3" t="s">
        <v>29</v>
      </c>
      <c r="E87" s="20"/>
      <c r="F87" s="3"/>
      <c r="G87" s="2" t="s">
        <v>105</v>
      </c>
      <c r="H87" s="4">
        <f>0.6*H85^2</f>
        <v>5048.1653956492173</v>
      </c>
      <c r="I87" s="3" t="s">
        <v>29</v>
      </c>
      <c r="J87" s="3"/>
      <c r="K87" s="28"/>
      <c r="L87" s="2" t="s">
        <v>105</v>
      </c>
      <c r="M87" s="4">
        <f>0.6*M85^2</f>
        <v>25146.399073230757</v>
      </c>
      <c r="N87" s="3" t="s">
        <v>29</v>
      </c>
      <c r="O87" s="20"/>
      <c r="Q87" s="28"/>
      <c r="R87" s="2" t="s">
        <v>105</v>
      </c>
      <c r="S87" s="4">
        <f>0.6*S85^2</f>
        <v>2447.102900880348</v>
      </c>
      <c r="T87" s="3" t="s">
        <v>29</v>
      </c>
      <c r="U87" s="3"/>
      <c r="V87" s="28"/>
      <c r="W87" s="2" t="s">
        <v>105</v>
      </c>
      <c r="X87" s="4">
        <f>0.6*X85^2</f>
        <v>5177.3416745898303</v>
      </c>
      <c r="Y87" s="3" t="s">
        <v>29</v>
      </c>
      <c r="Z87" s="3"/>
      <c r="AA87" s="28"/>
      <c r="AB87" s="2" t="s">
        <v>105</v>
      </c>
      <c r="AC87" s="4">
        <f>0.6*AC85^2</f>
        <v>25307.303039943694</v>
      </c>
      <c r="AD87" s="3" t="s">
        <v>29</v>
      </c>
      <c r="AE87" s="20"/>
    </row>
    <row r="88" spans="1:31" x14ac:dyDescent="0.35">
      <c r="A88" s="28"/>
      <c r="B88" s="2" t="s">
        <v>19</v>
      </c>
      <c r="C88" s="4">
        <f>IF(C85&gt;10,IF(F43&lt;16,3*SQRT(F43)/4,3),IF(F43&gt;12,6,3*SQRT(F43)/4))</f>
        <v>3</v>
      </c>
      <c r="D88" s="3"/>
      <c r="E88" s="20"/>
      <c r="F88" s="3"/>
      <c r="G88" s="2" t="s">
        <v>19</v>
      </c>
      <c r="H88" s="4">
        <f>IF(H85&gt;10,IF(F43&lt;16,3*SQRT(F43)/4,3),IF(F43&gt;12,6,3*SQRT(F43)/4))</f>
        <v>3</v>
      </c>
      <c r="I88" s="3"/>
      <c r="J88" s="3"/>
      <c r="K88" s="28"/>
      <c r="L88" s="2" t="s">
        <v>19</v>
      </c>
      <c r="M88" s="4">
        <f>IF(M85&gt;10,IF(F43&lt;16,3*SQRT(F43)/4,3),IF(F43&gt;12,6,3*SQRT(F43)/4))</f>
        <v>3</v>
      </c>
      <c r="N88" s="3"/>
      <c r="O88" s="20"/>
      <c r="Q88" s="28"/>
      <c r="R88" s="2" t="s">
        <v>19</v>
      </c>
      <c r="S88" s="4">
        <f>IF(S85&gt;10,IF(F43&lt;16,3*SQRT(F43)/4,3),IF(F43&gt;12,6,3*SQRT(F43)/4))</f>
        <v>3</v>
      </c>
      <c r="T88" s="3"/>
      <c r="U88" s="3"/>
      <c r="V88" s="28"/>
      <c r="W88" s="2" t="s">
        <v>19</v>
      </c>
      <c r="X88" s="4">
        <f>IF(X85&gt;10,IF(F43&lt;16,3*SQRT(F43)/4,3),IF(F43&gt;12,6,3*SQRT(F43)/4))</f>
        <v>3</v>
      </c>
      <c r="Y88" s="3"/>
      <c r="Z88" s="3"/>
      <c r="AA88" s="28"/>
      <c r="AB88" s="2" t="s">
        <v>19</v>
      </c>
      <c r="AC88" s="4">
        <f>IF(AC85&gt;10,IF(F43&lt;16,3*SQRT(F43)/4,3),IF(F43&gt;12,6,3*SQRT(F43)/4))</f>
        <v>3</v>
      </c>
      <c r="AD88" s="3"/>
      <c r="AE88" s="20"/>
    </row>
    <row r="89" spans="1:31" x14ac:dyDescent="0.35">
      <c r="A89" s="28"/>
      <c r="B89" s="2" t="s">
        <v>20</v>
      </c>
      <c r="C89" s="3">
        <f>IF(C85&lt;10,IF(F43&gt;12,1.2,0.6),0.6)</f>
        <v>0.6</v>
      </c>
      <c r="D89" s="3"/>
      <c r="E89" s="20"/>
      <c r="F89" s="3"/>
      <c r="G89" s="2" t="s">
        <v>20</v>
      </c>
      <c r="H89" s="3">
        <f>IF(H85&lt;10,IF(F43&gt;12,1.2,0.6),0.6)</f>
        <v>0.6</v>
      </c>
      <c r="I89" s="3"/>
      <c r="J89" s="3"/>
      <c r="K89" s="28"/>
      <c r="L89" s="2" t="s">
        <v>20</v>
      </c>
      <c r="M89" s="3">
        <f>IF(M85&lt;10,IF(F43&gt;12,1.2,0.6),0.6)</f>
        <v>0.6</v>
      </c>
      <c r="N89" s="3"/>
      <c r="O89" s="20"/>
      <c r="Q89" s="28"/>
      <c r="R89" s="2" t="s">
        <v>20</v>
      </c>
      <c r="S89" s="3">
        <f>IF(S85&lt;10,IF(F43&gt;12,1.2,0.6),0.6)</f>
        <v>0.6</v>
      </c>
      <c r="T89" s="3"/>
      <c r="U89" s="3"/>
      <c r="V89" s="28"/>
      <c r="W89" s="2" t="s">
        <v>20</v>
      </c>
      <c r="X89" s="3">
        <f>IF(X85&lt;10,IF(F43&gt;12,1.2,0.6),0.6)</f>
        <v>0.6</v>
      </c>
      <c r="Y89" s="3"/>
      <c r="Z89" s="3"/>
      <c r="AA89" s="28"/>
      <c r="AB89" s="2" t="s">
        <v>20</v>
      </c>
      <c r="AC89" s="3">
        <f>IF(AC85&lt;10,IF(F43&gt;12,1.2,0.6),0.6)</f>
        <v>0.6</v>
      </c>
      <c r="AD89" s="3"/>
      <c r="AE89" s="20"/>
    </row>
    <row r="90" spans="1:31" x14ac:dyDescent="0.35">
      <c r="A90" s="28"/>
      <c r="B90" s="3"/>
      <c r="C90" s="3"/>
      <c r="D90" s="3"/>
      <c r="E90" s="20"/>
      <c r="F90" s="3"/>
      <c r="G90" s="3"/>
      <c r="H90" s="3"/>
      <c r="I90" s="3"/>
      <c r="J90" s="3"/>
      <c r="K90" s="28"/>
      <c r="L90" s="3"/>
      <c r="M90" s="3"/>
      <c r="N90" s="3"/>
      <c r="O90" s="20"/>
      <c r="Q90" s="28"/>
      <c r="R90" s="2"/>
      <c r="S90" s="3"/>
      <c r="T90" s="3"/>
      <c r="U90" s="3"/>
      <c r="V90" s="28"/>
      <c r="W90" s="2"/>
      <c r="X90" s="3"/>
      <c r="Y90" s="3"/>
      <c r="Z90" s="3"/>
      <c r="AA90" s="28"/>
      <c r="AB90" s="2"/>
      <c r="AC90" s="3"/>
      <c r="AD90" s="3"/>
      <c r="AE90" s="20"/>
    </row>
    <row r="91" spans="1:31" ht="17.5" x14ac:dyDescent="0.45">
      <c r="A91" s="7"/>
      <c r="B91" s="2" t="s">
        <v>108</v>
      </c>
      <c r="C91" s="21">
        <f>C89*$E$46*($B$7*25.4/1000)^2/($B$10*1.48816)</f>
        <v>1.2788417431872788E-3</v>
      </c>
      <c r="D91" s="3"/>
      <c r="E91" s="38" t="str">
        <f>IF(C91&lt;$B$18, "OK","Bad")</f>
        <v>OK</v>
      </c>
      <c r="F91" s="3"/>
      <c r="G91" s="2" t="s">
        <v>108</v>
      </c>
      <c r="H91" s="21">
        <f>H89*$E$46*($B$7*25.4/1000)^2/($B$10*1.48816)</f>
        <v>1.2788417431872788E-3</v>
      </c>
      <c r="I91" s="3"/>
      <c r="J91" s="22" t="str">
        <f>IF(H91&lt;$B$18, "OK","Bad")</f>
        <v>OK</v>
      </c>
      <c r="K91" s="28"/>
      <c r="L91" s="2" t="s">
        <v>108</v>
      </c>
      <c r="M91" s="21">
        <f>M89*$E$46*($B$7*25.4/1000)^2/($B$10*1.48816)</f>
        <v>1.2788417431872788E-3</v>
      </c>
      <c r="O91" s="38" t="str">
        <f>IF(M91&lt;$B$18, "OK","Bad")</f>
        <v>OK</v>
      </c>
      <c r="Q91" s="28"/>
      <c r="R91" s="2" t="s">
        <v>108</v>
      </c>
      <c r="S91" s="21">
        <f>S89*E46*($B$7*25.4/1000)^2/($B$10*1.48816)</f>
        <v>1.2788417431872788E-3</v>
      </c>
      <c r="T91" s="3"/>
      <c r="U91" s="22" t="str">
        <f>IF(S91&lt;$B$18, "OK","Bad")</f>
        <v>OK</v>
      </c>
      <c r="V91" s="28"/>
      <c r="W91" s="2" t="s">
        <v>108</v>
      </c>
      <c r="X91" s="21">
        <f>X89*E46*($B$7*25.4/1000)^2/($B$10*1.48816)</f>
        <v>1.2788417431872788E-3</v>
      </c>
      <c r="Y91" s="3"/>
      <c r="Z91" s="22" t="str">
        <f>IF(X91&lt;$B$18, "OK","Bad")</f>
        <v>OK</v>
      </c>
      <c r="AA91" s="28"/>
      <c r="AB91" s="2" t="s">
        <v>108</v>
      </c>
      <c r="AC91" s="21">
        <f>AC89*E46*($B$7*25.4/1000)^2/($B$10*1.48816)</f>
        <v>1.2788417431872788E-3</v>
      </c>
      <c r="AD91" s="3"/>
      <c r="AE91" s="38" t="str">
        <f>IF(AC91&lt;$B$18, "OK","Bad")</f>
        <v>OK</v>
      </c>
    </row>
    <row r="92" spans="1:31" x14ac:dyDescent="0.35">
      <c r="A92" s="7"/>
      <c r="E92" s="8"/>
      <c r="K92" s="7"/>
      <c r="O92" s="8"/>
      <c r="Q92" s="28"/>
      <c r="R92" s="3"/>
      <c r="S92" s="3"/>
      <c r="T92" s="3"/>
      <c r="U92" s="3"/>
      <c r="V92" s="28"/>
      <c r="W92" s="3"/>
      <c r="X92" s="3"/>
      <c r="Y92" s="3"/>
      <c r="Z92" s="3"/>
      <c r="AA92" s="28"/>
      <c r="AB92" s="3"/>
      <c r="AC92" s="3"/>
      <c r="AD92" s="3"/>
      <c r="AE92" s="20"/>
    </row>
    <row r="93" spans="1:31" ht="16.5" x14ac:dyDescent="0.45">
      <c r="A93" s="28"/>
      <c r="B93" s="11" t="s">
        <v>80</v>
      </c>
      <c r="C93" s="4">
        <f>IF($B$18&lt;C91,0,(C88*C87*($B$7*25.4/1000))/(SQRT(F43)*SQRT($B$18-C91)))</f>
        <v>7260.9408938279048</v>
      </c>
      <c r="D93" s="3" t="s">
        <v>21</v>
      </c>
      <c r="E93" s="20"/>
      <c r="F93" s="3"/>
      <c r="G93" s="11" t="s">
        <v>80</v>
      </c>
      <c r="H93" s="4">
        <f>IF($B$18&lt;H91,0,(H88*H87*($B$7*25.4/1000))/(SQRT(F43)*SQRT($B$18-H91)))</f>
        <v>15361.990651404501</v>
      </c>
      <c r="I93" s="3" t="s">
        <v>21</v>
      </c>
      <c r="J93" s="3"/>
      <c r="K93" s="28"/>
      <c r="L93" s="11" t="s">
        <v>80</v>
      </c>
      <c r="M93" s="4">
        <f>IF($B$18&lt;M91,0,(M88*M87*($B$7*25.4/1000))/(SQRT(F43)*SQRT($B$18-M91)))</f>
        <v>76522.601223088073</v>
      </c>
      <c r="N93" s="3" t="s">
        <v>21</v>
      </c>
      <c r="O93" s="20"/>
      <c r="Q93" s="28"/>
      <c r="R93" s="11" t="s">
        <v>80</v>
      </c>
      <c r="S93" s="4">
        <f>IF($B$18&lt;S91,0,(S88*S87*($B$7*25.4/1000))/(SQRT(F43)*SQRT($B$18-S91)))</f>
        <v>7446.7393478723743</v>
      </c>
      <c r="T93" s="3" t="s">
        <v>21</v>
      </c>
      <c r="U93" s="3"/>
      <c r="V93" s="28"/>
      <c r="W93" s="11" t="s">
        <v>80</v>
      </c>
      <c r="X93" s="4">
        <f>IF($B$18&lt;X91,0,(X88*X87*($B$7*25.4/1000))/(SQRT(F43)*SQRT($B$18-X91)))</f>
        <v>15755.08490128371</v>
      </c>
      <c r="Y93" s="3" t="s">
        <v>21</v>
      </c>
      <c r="Z93" s="3"/>
      <c r="AA93" s="28"/>
      <c r="AB93" s="11" t="s">
        <v>80</v>
      </c>
      <c r="AC93" s="4">
        <f>IF($B$18&lt;AC91,0,(AC88*AC87*($B$7*25.4/1000))/(SQRT(F43)*SQRT($B$18-AC91)))</f>
        <v>77012.245487625914</v>
      </c>
      <c r="AD93" s="3" t="s">
        <v>21</v>
      </c>
      <c r="AE93" s="20"/>
    </row>
    <row r="94" spans="1:31" x14ac:dyDescent="0.35">
      <c r="A94" s="28"/>
      <c r="B94" s="3"/>
      <c r="C94" s="3"/>
      <c r="D94" s="3"/>
      <c r="E94" s="20"/>
      <c r="F94" s="3"/>
      <c r="G94" s="3"/>
      <c r="H94" s="3"/>
      <c r="I94" s="3"/>
      <c r="J94" s="3"/>
      <c r="K94" s="28"/>
      <c r="L94" s="3"/>
      <c r="M94" s="3"/>
      <c r="N94" s="3"/>
      <c r="O94" s="20"/>
      <c r="Q94" s="28"/>
      <c r="R94" s="3"/>
      <c r="S94" s="3"/>
      <c r="T94" s="3"/>
      <c r="U94" s="3"/>
      <c r="V94" s="28"/>
      <c r="W94" s="3"/>
      <c r="X94" s="3"/>
      <c r="Y94" s="3"/>
      <c r="Z94" s="3"/>
      <c r="AA94" s="28"/>
      <c r="AB94" s="3"/>
      <c r="AC94" s="3"/>
      <c r="AD94" s="3"/>
      <c r="AE94" s="20"/>
    </row>
    <row r="95" spans="1:31" ht="16.5" x14ac:dyDescent="0.35">
      <c r="A95" s="7"/>
      <c r="B95" s="78" t="s">
        <v>126</v>
      </c>
      <c r="C95" s="4">
        <f>IF((MAX(IF($V$29="Yes",$V$30,0),IF($W$29="Yes",$W$30,0),IF($Y$29="Yes",$Y$30,0)))/C82&gt;1,1,(MAX(IF($V$29="Yes",$V$30,0),IF($W$29="Yes",$W$30,0),IF($Y$29="Yes",$Y$30,0)))/C82)</f>
        <v>0.999025754698322</v>
      </c>
      <c r="D95" s="3"/>
      <c r="E95" s="20"/>
      <c r="G95" s="78" t="s">
        <v>126</v>
      </c>
      <c r="H95" s="4">
        <f>IF((MAX(IF($V$29="Yes",$V$30,0),IF($W$29="Yes",$W$30,0),IF($Y$29="Yes",$Y$30,0)))/H82&gt;1,1,(MAX(IF($V$29="Yes",$V$30,0),IF($W$29="Yes",$W$30,0),IF($Y$29="Yes",$Y$30,0)))/H82)</f>
        <v>0.68683020635509628</v>
      </c>
      <c r="I95" s="3"/>
      <c r="J95" s="20"/>
      <c r="L95" s="78" t="s">
        <v>126</v>
      </c>
      <c r="M95" s="4">
        <f>IF((MAX(IF($V$29="Yes",$V$30,0),IF($W$29="Yes",$W$30,0),IF($Y$29="Yes",$Y$30,0)))/M82&gt;1,1,(MAX(IF($V$29="Yes",$V$30,0),IF($W$29="Yes",$W$30,0),IF($Y$29="Yes",$Y$30,0)))/M82)</f>
        <v>0.30773597762578947</v>
      </c>
      <c r="N95" s="3"/>
      <c r="O95" s="20"/>
      <c r="Q95" s="28"/>
      <c r="R95" s="78" t="s">
        <v>126</v>
      </c>
      <c r="S95" s="4">
        <f>IF((MAX(IF($V$36="Yes",$V$37,0),IF($W$36="Yes",$W$37,0),IF($Y$36="Yes",$Y$37,0)))/S82&gt;1,1,(MAX(IF($V$36="Yes",$V$37,0),IF($W$36="Yes",$W$37,0),IF($Y$36="Yes",$Y$37,0)))/S82)</f>
        <v>0.3131695331765762</v>
      </c>
      <c r="T95" s="3"/>
      <c r="U95" s="20"/>
      <c r="V95" s="28"/>
      <c r="W95" s="78" t="s">
        <v>126</v>
      </c>
      <c r="X95" s="4">
        <f>IF((MAX(IF($V$36="Yes",$V$37,0),IF($W$36="Yes",$W$37,0),IF($Y$36="Yes",$Y$37,0)))/X82&gt;1,1,(MAX(IF($V$36="Yes",$V$37,0),IF($W$36="Yes",$W$37,0),IF($Y$36="Yes",$Y$37,0)))/X82)</f>
        <v>0.2153040540588961</v>
      </c>
      <c r="Y95" s="3"/>
      <c r="Z95" s="20"/>
      <c r="AA95" s="28"/>
      <c r="AB95" s="78" t="s">
        <v>126</v>
      </c>
      <c r="AC95" s="4">
        <f>IF((MAX(IF($V$36="Yes",$V$37,0),IF($W$36="Yes",$W$37,0),IF($Y$36="Yes",$Y$37,0)))/AC82&gt;1,1,(MAX(IF($V$36="Yes",$V$37,0),IF($W$36="Yes",$W$37,0),IF($Y$36="Yes",$Y$37,0)))/AC82)</f>
        <v>9.7382896563943069E-2</v>
      </c>
      <c r="AD95" s="3"/>
      <c r="AE95" s="20"/>
    </row>
    <row r="96" spans="1:31" x14ac:dyDescent="0.35">
      <c r="A96" s="82"/>
      <c r="B96" s="80" t="s">
        <v>127</v>
      </c>
      <c r="C96" s="84">
        <v>50</v>
      </c>
      <c r="E96" s="86" t="s">
        <v>131</v>
      </c>
      <c r="F96" s="81"/>
      <c r="G96" s="80" t="s">
        <v>127</v>
      </c>
      <c r="H96" s="84">
        <v>2</v>
      </c>
      <c r="J96" s="86" t="s">
        <v>131</v>
      </c>
      <c r="K96" s="82"/>
      <c r="L96" s="80" t="s">
        <v>127</v>
      </c>
      <c r="M96" s="84">
        <v>1.2</v>
      </c>
      <c r="O96" s="86" t="s">
        <v>131</v>
      </c>
      <c r="Q96" s="82"/>
      <c r="R96" s="80" t="s">
        <v>127</v>
      </c>
      <c r="S96" s="84">
        <v>1.2</v>
      </c>
      <c r="U96" s="86" t="s">
        <v>131</v>
      </c>
      <c r="V96" s="82"/>
      <c r="W96" s="80" t="s">
        <v>127</v>
      </c>
      <c r="X96" s="84">
        <v>1.1000000000000001</v>
      </c>
      <c r="Z96" s="86" t="s">
        <v>131</v>
      </c>
      <c r="AA96" s="82"/>
      <c r="AB96" s="80" t="s">
        <v>127</v>
      </c>
      <c r="AC96" s="84">
        <v>1</v>
      </c>
      <c r="AE96" s="86" t="s">
        <v>131</v>
      </c>
    </row>
    <row r="97" spans="1:31" x14ac:dyDescent="0.35">
      <c r="A97" s="28"/>
      <c r="B97" s="2" t="s">
        <v>22</v>
      </c>
      <c r="C97" s="4">
        <f>(C96*C93/1000)</f>
        <v>363.04704469139523</v>
      </c>
      <c r="D97" s="3" t="s">
        <v>23</v>
      </c>
      <c r="E97" s="20"/>
      <c r="F97" s="3"/>
      <c r="G97" s="2" t="s">
        <v>22</v>
      </c>
      <c r="H97" s="4">
        <f>(H96*H93/1000)</f>
        <v>30.723981302809001</v>
      </c>
      <c r="I97" s="3" t="s">
        <v>23</v>
      </c>
      <c r="J97" s="3"/>
      <c r="K97" s="28"/>
      <c r="L97" s="2" t="s">
        <v>22</v>
      </c>
      <c r="M97" s="4">
        <f>(M96*M93/1000)</f>
        <v>91.82712146770568</v>
      </c>
      <c r="N97" s="3" t="s">
        <v>23</v>
      </c>
      <c r="O97" s="20"/>
      <c r="Q97" s="51"/>
      <c r="R97" s="2" t="s">
        <v>22</v>
      </c>
      <c r="S97" s="4">
        <f>(S96*S93/1000)</f>
        <v>8.9360872174468504</v>
      </c>
      <c r="T97" s="3" t="s">
        <v>23</v>
      </c>
      <c r="U97" s="50"/>
      <c r="V97" s="51"/>
      <c r="W97" s="2" t="s">
        <v>22</v>
      </c>
      <c r="X97" s="4">
        <f>(X96*X93/1000)</f>
        <v>17.330593391412084</v>
      </c>
      <c r="Y97" s="3" t="s">
        <v>23</v>
      </c>
      <c r="Z97" s="50"/>
      <c r="AA97" s="51"/>
      <c r="AB97" s="2" t="s">
        <v>22</v>
      </c>
      <c r="AC97" s="4">
        <f>(AC96*AC93/1000)</f>
        <v>77.012245487625918</v>
      </c>
      <c r="AD97" s="3" t="s">
        <v>23</v>
      </c>
      <c r="AE97" s="20"/>
    </row>
    <row r="98" spans="1:31" ht="15" thickBot="1" x14ac:dyDescent="0.4">
      <c r="A98" s="28"/>
      <c r="B98" s="3"/>
      <c r="C98" s="3"/>
      <c r="D98" s="3"/>
      <c r="E98" s="20"/>
      <c r="F98" s="3"/>
      <c r="G98" s="3"/>
      <c r="H98" s="3"/>
      <c r="I98" s="3"/>
      <c r="J98" s="3"/>
      <c r="K98" s="28"/>
      <c r="L98" s="3"/>
      <c r="M98" s="3"/>
      <c r="N98" s="3"/>
      <c r="O98" s="20"/>
      <c r="Q98" s="51"/>
      <c r="R98" s="3"/>
      <c r="S98" s="3"/>
      <c r="T98" s="3"/>
      <c r="U98" s="50"/>
      <c r="V98" s="51"/>
      <c r="W98" s="3"/>
      <c r="X98" s="3"/>
      <c r="Y98" s="3"/>
      <c r="Z98" s="50"/>
      <c r="AA98" s="51"/>
      <c r="AB98" s="3"/>
      <c r="AC98" s="3"/>
      <c r="AD98" s="3"/>
      <c r="AE98" s="20"/>
    </row>
    <row r="99" spans="1:31" ht="15" thickTop="1" x14ac:dyDescent="0.35">
      <c r="A99" s="28"/>
      <c r="B99" s="64" t="s">
        <v>24</v>
      </c>
      <c r="C99" s="65">
        <f>C97</f>
        <v>363.04704469139523</v>
      </c>
      <c r="D99" s="66" t="s">
        <v>23</v>
      </c>
      <c r="E99" s="20"/>
      <c r="F99" s="3"/>
      <c r="G99" s="64" t="s">
        <v>24</v>
      </c>
      <c r="H99" s="65">
        <f>H97</f>
        <v>30.723981302809001</v>
      </c>
      <c r="I99" s="66" t="s">
        <v>23</v>
      </c>
      <c r="J99" s="3"/>
      <c r="K99" s="28"/>
      <c r="L99" s="64" t="s">
        <v>24</v>
      </c>
      <c r="M99" s="65">
        <f>M97</f>
        <v>91.82712146770568</v>
      </c>
      <c r="N99" s="66" t="s">
        <v>23</v>
      </c>
      <c r="O99" s="20"/>
      <c r="Q99" s="51"/>
      <c r="R99" s="64" t="s">
        <v>24</v>
      </c>
      <c r="S99" s="65">
        <f>S97</f>
        <v>8.9360872174468504</v>
      </c>
      <c r="T99" s="66" t="s">
        <v>23</v>
      </c>
      <c r="U99" s="50"/>
      <c r="V99" s="51"/>
      <c r="W99" s="64" t="s">
        <v>24</v>
      </c>
      <c r="X99" s="65">
        <f>X97</f>
        <v>17.330593391412084</v>
      </c>
      <c r="Y99" s="66" t="s">
        <v>23</v>
      </c>
      <c r="Z99" s="50"/>
      <c r="AA99" s="51"/>
      <c r="AB99" s="64" t="s">
        <v>24</v>
      </c>
      <c r="AC99" s="65">
        <f>AC97</f>
        <v>77.012245487625918</v>
      </c>
      <c r="AD99" s="66" t="s">
        <v>23</v>
      </c>
      <c r="AE99" s="20"/>
    </row>
    <row r="100" spans="1:31" x14ac:dyDescent="0.35">
      <c r="A100" s="28"/>
      <c r="B100" s="67" t="s">
        <v>25</v>
      </c>
      <c r="C100" s="4">
        <f>(C97*($B$14*25.4/1000)^2/8)</f>
        <v>2539.0784211626806</v>
      </c>
      <c r="D100" s="68" t="s">
        <v>33</v>
      </c>
      <c r="E100" s="20"/>
      <c r="F100" s="3"/>
      <c r="G100" s="67" t="s">
        <v>25</v>
      </c>
      <c r="H100" s="4">
        <f>(H97*($B$14*25.4/1000)^2/8)</f>
        <v>214.87738043558562</v>
      </c>
      <c r="I100" s="68" t="s">
        <v>33</v>
      </c>
      <c r="J100" s="3"/>
      <c r="K100" s="28"/>
      <c r="L100" s="67" t="s">
        <v>25</v>
      </c>
      <c r="M100" s="4">
        <f>((M97*($B$14*25.4/1000)^2/8))/3</f>
        <v>214.07350737361335</v>
      </c>
      <c r="N100" s="68" t="s">
        <v>33</v>
      </c>
      <c r="O100" s="20"/>
      <c r="Q100" s="51"/>
      <c r="R100" s="67" t="s">
        <v>25</v>
      </c>
      <c r="S100" s="4">
        <f>(S97*($B$14*25.4/1000)^2/8)</f>
        <v>62.497206781379795</v>
      </c>
      <c r="T100" s="68" t="s">
        <v>33</v>
      </c>
      <c r="U100" s="50"/>
      <c r="V100" s="51"/>
      <c r="W100" s="67" t="s">
        <v>25</v>
      </c>
      <c r="X100" s="4">
        <f>(X97*($B$14*25.4/1000)^2/8)</f>
        <v>121.20670406085785</v>
      </c>
      <c r="Y100" s="68" t="s">
        <v>33</v>
      </c>
      <c r="Z100" s="50"/>
      <c r="AA100" s="51"/>
      <c r="AB100" s="67" t="s">
        <v>25</v>
      </c>
      <c r="AC100" s="4">
        <f>((AC97*($B$14*25.4/1000)^2/8))/3</f>
        <v>179.53608083045276</v>
      </c>
      <c r="AD100" s="68" t="s">
        <v>33</v>
      </c>
      <c r="AE100" s="20"/>
    </row>
    <row r="101" spans="1:31" ht="15" thickBot="1" x14ac:dyDescent="0.4">
      <c r="A101" s="28"/>
      <c r="B101" s="69" t="s">
        <v>26</v>
      </c>
      <c r="C101" s="70">
        <f>(C100*1000*1000)/($B$9*25.4^3)</f>
        <v>2210.6718995920969</v>
      </c>
      <c r="D101" s="71" t="s">
        <v>35</v>
      </c>
      <c r="E101" s="20"/>
      <c r="F101" s="3"/>
      <c r="G101" s="69" t="s">
        <v>26</v>
      </c>
      <c r="H101" s="70">
        <f>(H100*1000*1000)/($B$9*25.4^3)</f>
        <v>187.08496075886845</v>
      </c>
      <c r="I101" s="71" t="s">
        <v>35</v>
      </c>
      <c r="J101" s="3"/>
      <c r="K101" s="28"/>
      <c r="L101" s="69" t="s">
        <v>26</v>
      </c>
      <c r="M101" s="70">
        <f>(M100*1000*1000)/($B$9*25.4^3)</f>
        <v>186.385061309474</v>
      </c>
      <c r="N101" s="71" t="s">
        <v>35</v>
      </c>
      <c r="O101" s="20"/>
      <c r="Q101" s="51"/>
      <c r="R101" s="69" t="s">
        <v>26</v>
      </c>
      <c r="S101" s="70">
        <f>(S100*1000*1000)/($B$9*25.4^3)</f>
        <v>54.413765909336163</v>
      </c>
      <c r="T101" s="71" t="s">
        <v>35</v>
      </c>
      <c r="U101" s="50"/>
      <c r="V101" s="51"/>
      <c r="W101" s="69" t="s">
        <v>26</v>
      </c>
      <c r="X101" s="70">
        <f>(X100*1000*1000)/($B$9*25.4^3)</f>
        <v>105.52972782416715</v>
      </c>
      <c r="Y101" s="71" t="s">
        <v>35</v>
      </c>
      <c r="Z101" s="50"/>
      <c r="AA101" s="51"/>
      <c r="AB101" s="69" t="s">
        <v>26</v>
      </c>
      <c r="AC101" s="70">
        <f>(AC100*1000*1000)/($B$9*25.4^3)</f>
        <v>156.31473433303142</v>
      </c>
      <c r="AD101" s="71" t="s">
        <v>35</v>
      </c>
      <c r="AE101" s="20"/>
    </row>
    <row r="102" spans="1:31" ht="15" thickTop="1" x14ac:dyDescent="0.35">
      <c r="A102" s="29"/>
      <c r="B102" s="23"/>
      <c r="C102" s="23"/>
      <c r="D102" s="23"/>
      <c r="E102" s="24"/>
      <c r="F102" s="23"/>
      <c r="G102" s="23"/>
      <c r="H102" s="23"/>
      <c r="I102" s="23"/>
      <c r="J102" s="23"/>
      <c r="K102" s="29"/>
      <c r="L102" s="23"/>
      <c r="M102" s="23"/>
      <c r="N102" s="23"/>
      <c r="O102" s="24"/>
      <c r="Q102" s="29"/>
      <c r="R102" s="23"/>
      <c r="S102" s="23"/>
      <c r="T102" s="23"/>
      <c r="U102" s="23"/>
      <c r="V102" s="29"/>
      <c r="W102" s="23"/>
      <c r="X102" s="23"/>
      <c r="Y102" s="23"/>
      <c r="Z102" s="23"/>
      <c r="AA102" s="29"/>
      <c r="AB102" s="23"/>
      <c r="AC102" s="23"/>
      <c r="AD102" s="23"/>
      <c r="AE102" s="24"/>
    </row>
  </sheetData>
  <mergeCells count="3">
    <mergeCell ref="B6:D6"/>
    <mergeCell ref="W28:X28"/>
    <mergeCell ref="W35:X35"/>
  </mergeCells>
  <printOptions horizontalCentered="1"/>
  <pageMargins left="0.70866141732283472" right="0.70866141732283472" top="0.74803149606299213" bottom="0.74803149606299213" header="0.31496062992125984" footer="0.31496062992125984"/>
  <pageSetup paperSize="17" scale="42" orientation="landscape" r:id="rId1"/>
  <headerFooter>
    <oddFooter>&amp;L&amp;A&amp;C&amp;F&amp;R&amp;D,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Boom Luffing Structure</vt:lpstr>
      <vt:lpstr>Modified Boom Luffing Structure</vt:lpstr>
      <vt:lpstr>Extra Luffing Structure Support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Sunil</dc:creator>
  <cp:lastModifiedBy>Shakil Jiwa</cp:lastModifiedBy>
  <cp:lastPrinted>2024-03-01T15:06:40Z</cp:lastPrinted>
  <dcterms:created xsi:type="dcterms:W3CDTF">2014-12-05T14:12:32Z</dcterms:created>
  <dcterms:modified xsi:type="dcterms:W3CDTF">2026-04-14T14:33:48Z</dcterms:modified>
</cp:coreProperties>
</file>